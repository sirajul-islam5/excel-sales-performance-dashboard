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Users\VINTAGE\Documents\"/>
    </mc:Choice>
  </mc:AlternateContent>
  <xr:revisionPtr revIDLastSave="0" documentId="13_ncr:1_{4374A114-CE40-4AED-9ABA-1A1E01620B76}" xr6:coauthVersionLast="47" xr6:coauthVersionMax="47" xr10:uidLastSave="{00000000-0000-0000-0000-000000000000}"/>
  <bookViews>
    <workbookView xWindow="-108" yWindow="-108" windowWidth="23256" windowHeight="12456" xr2:uid="{F2CAAE2F-56E6-4E8F-8A30-448DA0E833AA}"/>
  </bookViews>
  <sheets>
    <sheet name="Dashboard" sheetId="2" r:id="rId1"/>
    <sheet name="Raw Data" sheetId="1" r:id="rId2"/>
  </sheets>
  <definedNames>
    <definedName name="Slicer_City">#N/A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K2" i="1"/>
  <c r="I2" i="1"/>
  <c r="I4" i="1"/>
  <c r="K4" i="1" s="1"/>
  <c r="L4" i="1" s="1"/>
  <c r="I5" i="1"/>
  <c r="K5" i="1" s="1"/>
  <c r="L5" i="1" s="1"/>
  <c r="I9" i="1"/>
  <c r="K9" i="1" s="1"/>
  <c r="L9" i="1" s="1"/>
  <c r="I10" i="1"/>
  <c r="K10" i="1" s="1"/>
  <c r="L10" i="1" s="1"/>
  <c r="I12" i="1"/>
  <c r="K12" i="1" s="1"/>
  <c r="L12" i="1" s="1"/>
  <c r="I13" i="1"/>
  <c r="K13" i="1" s="1"/>
  <c r="L13" i="1" s="1"/>
  <c r="I15" i="1"/>
  <c r="K15" i="1" s="1"/>
  <c r="L15" i="1" s="1"/>
  <c r="I16" i="1"/>
  <c r="K16" i="1" s="1"/>
  <c r="L16" i="1" s="1"/>
  <c r="I17" i="1"/>
  <c r="K17" i="1" s="1"/>
  <c r="L17" i="1" s="1"/>
  <c r="I18" i="1"/>
  <c r="K18" i="1" s="1"/>
  <c r="L18" i="1" s="1"/>
  <c r="I20" i="1"/>
  <c r="K20" i="1" s="1"/>
  <c r="L20" i="1" s="1"/>
  <c r="I21" i="1"/>
  <c r="K21" i="1" s="1"/>
  <c r="L21" i="1" s="1"/>
  <c r="I19" i="1"/>
  <c r="K19" i="1" s="1"/>
  <c r="L19" i="1" s="1"/>
  <c r="I14" i="1"/>
  <c r="K14" i="1" s="1"/>
  <c r="L14" i="1" s="1"/>
  <c r="I11" i="1"/>
  <c r="K11" i="1" s="1"/>
  <c r="L11" i="1" s="1"/>
  <c r="I8" i="1"/>
  <c r="K8" i="1" s="1"/>
  <c r="L8" i="1" s="1"/>
  <c r="I7" i="1"/>
  <c r="K7" i="1" s="1"/>
  <c r="L7" i="1" s="1"/>
  <c r="I6" i="1"/>
  <c r="K6" i="1" s="1"/>
  <c r="L6" i="1" s="1"/>
  <c r="I3" i="1"/>
  <c r="K3" i="1" s="1"/>
  <c r="L3" i="1" s="1"/>
</calcChain>
</file>

<file path=xl/sharedStrings.xml><?xml version="1.0" encoding="utf-8"?>
<sst xmlns="http://schemas.openxmlformats.org/spreadsheetml/2006/main" count="110" uniqueCount="71">
  <si>
    <t>Employee Code</t>
  </si>
  <si>
    <t>Sales Executive</t>
  </si>
  <si>
    <t>City</t>
  </si>
  <si>
    <t>Day1</t>
  </si>
  <si>
    <t>Day2</t>
  </si>
  <si>
    <t>Day3</t>
  </si>
  <si>
    <t>Day4</t>
  </si>
  <si>
    <t>Day5</t>
  </si>
  <si>
    <t>Total Sales</t>
  </si>
  <si>
    <t>Target</t>
  </si>
  <si>
    <t>Target Hit%</t>
  </si>
  <si>
    <t>Away From Target%</t>
  </si>
  <si>
    <t>DHA-TCL001</t>
  </si>
  <si>
    <t>Rahim</t>
  </si>
  <si>
    <t>Dhaka</t>
  </si>
  <si>
    <t>DHA-TCL002</t>
  </si>
  <si>
    <t>Karim</t>
  </si>
  <si>
    <t>Chattogram</t>
  </si>
  <si>
    <t>DHA-TCL003</t>
  </si>
  <si>
    <t>Sohel</t>
  </si>
  <si>
    <t>Sylhet</t>
  </si>
  <si>
    <t>DHA-TCL004</t>
  </si>
  <si>
    <t>Rubel</t>
  </si>
  <si>
    <t>Rajshahi</t>
  </si>
  <si>
    <t>DHA-TCL005</t>
  </si>
  <si>
    <t>Jasim</t>
  </si>
  <si>
    <t>Khulna</t>
  </si>
  <si>
    <t>DHA-TCL006</t>
  </si>
  <si>
    <t>Kamal</t>
  </si>
  <si>
    <t>Dinajpur</t>
  </si>
  <si>
    <t>DHA-TCL007</t>
  </si>
  <si>
    <t>Habib</t>
  </si>
  <si>
    <t>Bogura</t>
  </si>
  <si>
    <t>DHA-TCL008</t>
  </si>
  <si>
    <t>Masud</t>
  </si>
  <si>
    <t>Cumilla</t>
  </si>
  <si>
    <t>DHA-TCL009</t>
  </si>
  <si>
    <t>Imran</t>
  </si>
  <si>
    <t>DHA-TCL010</t>
  </si>
  <si>
    <t>Faruk</t>
  </si>
  <si>
    <t>Gazipur</t>
  </si>
  <si>
    <t>DHA-TCL011</t>
  </si>
  <si>
    <t>Shakil</t>
  </si>
  <si>
    <t>Jessore</t>
  </si>
  <si>
    <t>DHA-TCL012</t>
  </si>
  <si>
    <t>Rashed</t>
  </si>
  <si>
    <t>DHA-TCL013</t>
  </si>
  <si>
    <t>Arif</t>
  </si>
  <si>
    <t>Mymansingh</t>
  </si>
  <si>
    <t>DHA-TCL014</t>
  </si>
  <si>
    <t>Sajib</t>
  </si>
  <si>
    <t>DHA-TCL015</t>
  </si>
  <si>
    <t>Tanvir</t>
  </si>
  <si>
    <t>DHA-TCL016</t>
  </si>
  <si>
    <t>Nasir</t>
  </si>
  <si>
    <t>Sirajganj</t>
  </si>
  <si>
    <t>DHA-TCL017</t>
  </si>
  <si>
    <t>Mahmud</t>
  </si>
  <si>
    <t>Natore</t>
  </si>
  <si>
    <t>DHA-TCL018</t>
  </si>
  <si>
    <t>Anis</t>
  </si>
  <si>
    <t>Kishorganj</t>
  </si>
  <si>
    <t>DHA-TCL019</t>
  </si>
  <si>
    <t>Jalal</t>
  </si>
  <si>
    <t>Jamalpur</t>
  </si>
  <si>
    <t>DHA-TCL020</t>
  </si>
  <si>
    <t>Ashraf</t>
  </si>
  <si>
    <t>Tangail</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</si>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</sst>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b/>
      <sz val="11"/>
      <color theme="1"/>
      <name val="Aptos Narrow"/>
      <family val="2"/>
      <scheme val="minor"/>
    </font>
    <font>
      <sz val="8"/>
      <color rgb="FF000000"/>
      <name val="Segoe UI"/>
      <family val="2"/>
    </font>
  </fonts>
  <fills count="4">
    <fill>
      <patternFill patternType="none"/>
    </fill>
    <fill>
      <patternFill patternType="gray125"/>
    </fill>
    <fill>
      <patternFill patternType="solid">
        <fgColor theme="3" tint="0.749992370372631"/>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0" fontId="1" fillId="2" borderId="1" xfId="0" applyFont="1" applyFill="1" applyBorder="1" applyAlignment="1">
      <alignment horizontal="center" vertical="center"/>
    </xf>
    <xf numFmtId="0" fontId="0" fillId="0" borderId="1" xfId="0" applyBorder="1"/>
    <xf numFmtId="0" fontId="0" fillId="0" borderId="1" xfId="0" applyBorder="1" applyAlignment="1">
      <alignment horizontal="left" vertical="center" indent="1"/>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3" borderId="0" xfId="0" applyFill="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6AC5ECD1-3ED0-4AB7-BB70-2A1189837919}">
      <tableStyleElement type="wholeTable" dxfId="0"/>
    </tableStyle>
  </tableStyles>
  <extLst>
    <ext xmlns:x14="http://schemas.microsoft.com/office/spreadsheetml/2009/9/main" uri="{46F421CA-312F-682f-3DD2-61675219B42D}">
      <x14:dxfs count="4">
        <dxf>
          <fill>
            <patternFill>
              <bgColor rgb="FFFFC000"/>
            </patternFill>
          </fill>
        </dxf>
        <dxf>
          <fill>
            <patternFill>
              <bgColor theme="6" tint="-0.24994659260841701"/>
            </patternFill>
          </fill>
        </dxf>
        <dxf>
          <fill>
            <patternFill>
              <bgColor rgb="FFFFFF00"/>
            </patternFill>
          </fill>
        </dxf>
        <dxf>
          <fill>
            <patternFill>
              <bgColor theme="6"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Sales Performance Dashboard.xlsm]Dashboard!PivotTable1</c:name>
    <c:fmtId val="0"/>
  </c:pivotSource>
  <c:chart>
    <c:autoTitleDeleted val="1"/>
    <c:pivotFmts>
      <c:pivotFmt>
        <c:idx val="0"/>
        <c:spPr>
          <a:solidFill>
            <a:schemeClr val="tx2">
              <a:lumMod val="75000"/>
              <a:lumOff val="25000"/>
            </a:schemeClr>
          </a:solidFill>
          <a:ln>
            <a:solidFill>
              <a:schemeClr val="tx1"/>
            </a:solidFill>
          </a:ln>
          <a:effectLst/>
        </c:spPr>
        <c:marker>
          <c:symbol val="none"/>
        </c:marker>
        <c:dLbl>
          <c:idx val="0"/>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75000"/>
              <a:lumOff val="25000"/>
            </a:schemeClr>
          </a:solidFill>
          <a:ln>
            <a:solidFill>
              <a:schemeClr val="tx1"/>
            </a:solidFill>
          </a:ln>
          <a:effectLst/>
        </c:spPr>
        <c:dLbl>
          <c:idx val="0"/>
          <c:layout>
            <c:manualLayout>
              <c:x val="0.20833333333333323"/>
              <c:y val="-4.6296296296297144E-3"/>
            </c:manualLayout>
          </c:layout>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75000"/>
              <a:lumOff val="25000"/>
            </a:schemeClr>
          </a:solidFill>
          <a:ln>
            <a:solidFill>
              <a:schemeClr val="tx1"/>
            </a:solidFill>
          </a:ln>
          <a:effectLst/>
        </c:spPr>
        <c:dLbl>
          <c:idx val="0"/>
          <c:layout>
            <c:manualLayout>
              <c:x val="0.20277777777777772"/>
              <c:y val="4.6296296296296294E-3"/>
            </c:manualLayout>
          </c:layout>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75000"/>
              <a:lumOff val="25000"/>
            </a:schemeClr>
          </a:solidFill>
          <a:ln>
            <a:solidFill>
              <a:schemeClr val="tx1"/>
            </a:solidFill>
          </a:ln>
          <a:effectLst/>
        </c:spPr>
        <c:dLbl>
          <c:idx val="0"/>
          <c:layout>
            <c:manualLayout>
              <c:x val="0.33333333333333331"/>
              <c:y val="-4.2437781360066642E-17"/>
            </c:manualLayout>
          </c:layout>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75000"/>
              <a:lumOff val="25000"/>
            </a:schemeClr>
          </a:solidFill>
          <a:ln>
            <a:solidFill>
              <a:schemeClr val="tx1"/>
            </a:solidFill>
          </a:ln>
          <a:effectLst/>
        </c:spPr>
        <c:dLbl>
          <c:idx val="0"/>
          <c:layout>
            <c:manualLayout>
              <c:x val="0.21944444444444433"/>
              <c:y val="4.6296296296296294E-3"/>
            </c:manualLayout>
          </c:layout>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75000"/>
              <a:lumOff val="25000"/>
            </a:schemeClr>
          </a:solidFill>
          <a:ln>
            <a:solidFill>
              <a:schemeClr val="tx1"/>
            </a:solidFill>
          </a:ln>
          <a:effectLst/>
        </c:spPr>
        <c:dLbl>
          <c:idx val="0"/>
          <c:layout>
            <c:manualLayout>
              <c:x val="0.26666666666666666"/>
              <c:y val="0"/>
            </c:manualLayout>
          </c:layout>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solidFill>
              <a:schemeClr val="tx1"/>
            </a:solidFill>
          </a:ln>
          <a:effectLst/>
        </c:spPr>
        <c:dLbl>
          <c:idx val="0"/>
          <c:layout>
            <c:manualLayout>
              <c:x val="0.20555555555555546"/>
              <c:y val="0"/>
            </c:manualLayout>
          </c:layout>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lumOff val="25000"/>
            </a:schemeClr>
          </a:solidFill>
          <a:ln>
            <a:solidFill>
              <a:schemeClr val="tx1"/>
            </a:solidFill>
          </a:ln>
          <a:effectLst/>
        </c:spPr>
        <c:dLbl>
          <c:idx val="0"/>
          <c:layout>
            <c:manualLayout>
              <c:x val="0.44444444444444442"/>
              <c:y val="0"/>
            </c:manualLayout>
          </c:layout>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Dashboard!$B$3</c:f>
              <c:strCache>
                <c:ptCount val="1"/>
                <c:pt idx="0">
                  <c:v>Total</c:v>
                </c:pt>
              </c:strCache>
            </c:strRef>
          </c:tx>
          <c:spPr>
            <a:solidFill>
              <a:schemeClr val="tx2">
                <a:lumMod val="75000"/>
                <a:lumOff val="25000"/>
              </a:schemeClr>
            </a:solidFill>
            <a:ln>
              <a:solidFill>
                <a:schemeClr val="tx1"/>
              </a:solidFill>
            </a:ln>
            <a:effectLst/>
          </c:spPr>
          <c:invertIfNegative val="0"/>
          <c:dPt>
            <c:idx val="0"/>
            <c:invertIfNegative val="0"/>
            <c:bubble3D val="0"/>
            <c:spPr>
              <a:solidFill>
                <a:schemeClr val="tx2">
                  <a:lumMod val="75000"/>
                  <a:lumOff val="25000"/>
                </a:schemeClr>
              </a:solidFill>
              <a:ln>
                <a:solidFill>
                  <a:schemeClr val="tx1"/>
                </a:solidFill>
              </a:ln>
              <a:effectLst/>
            </c:spPr>
            <c:extLst>
              <c:ext xmlns:c16="http://schemas.microsoft.com/office/drawing/2014/chart" uri="{C3380CC4-5D6E-409C-BE32-E72D297353CC}">
                <c16:uniqueId val="{00000008-7789-4961-B622-7A24882198EC}"/>
              </c:ext>
            </c:extLst>
          </c:dPt>
          <c:dPt>
            <c:idx val="1"/>
            <c:invertIfNegative val="0"/>
            <c:bubble3D val="0"/>
            <c:extLst>
              <c:ext xmlns:c16="http://schemas.microsoft.com/office/drawing/2014/chart" uri="{C3380CC4-5D6E-409C-BE32-E72D297353CC}">
                <c16:uniqueId val="{00000007-7789-4961-B622-7A24882198EC}"/>
              </c:ext>
            </c:extLst>
          </c:dPt>
          <c:dPt>
            <c:idx val="2"/>
            <c:invertIfNegative val="0"/>
            <c:bubble3D val="0"/>
            <c:spPr>
              <a:solidFill>
                <a:schemeClr val="tx2">
                  <a:lumMod val="75000"/>
                  <a:lumOff val="25000"/>
                </a:schemeClr>
              </a:solidFill>
              <a:ln>
                <a:solidFill>
                  <a:schemeClr val="tx1"/>
                </a:solidFill>
              </a:ln>
              <a:effectLst/>
            </c:spPr>
            <c:extLst>
              <c:ext xmlns:c16="http://schemas.microsoft.com/office/drawing/2014/chart" uri="{C3380CC4-5D6E-409C-BE32-E72D297353CC}">
                <c16:uniqueId val="{00000002-7789-4961-B622-7A24882198EC}"/>
              </c:ext>
            </c:extLst>
          </c:dPt>
          <c:dPt>
            <c:idx val="3"/>
            <c:invertIfNegative val="0"/>
            <c:bubble3D val="0"/>
            <c:extLst>
              <c:ext xmlns:c16="http://schemas.microsoft.com/office/drawing/2014/chart" uri="{C3380CC4-5D6E-409C-BE32-E72D297353CC}">
                <c16:uniqueId val="{00000003-7789-4961-B622-7A24882198EC}"/>
              </c:ext>
            </c:extLst>
          </c:dPt>
          <c:dPt>
            <c:idx val="4"/>
            <c:invertIfNegative val="0"/>
            <c:bubble3D val="0"/>
            <c:spPr>
              <a:solidFill>
                <a:schemeClr val="tx2">
                  <a:lumMod val="75000"/>
                  <a:lumOff val="25000"/>
                </a:schemeClr>
              </a:solidFill>
              <a:ln>
                <a:solidFill>
                  <a:schemeClr val="tx1"/>
                </a:solidFill>
              </a:ln>
              <a:effectLst/>
            </c:spPr>
            <c:extLst>
              <c:ext xmlns:c16="http://schemas.microsoft.com/office/drawing/2014/chart" uri="{C3380CC4-5D6E-409C-BE32-E72D297353CC}">
                <c16:uniqueId val="{00000004-7789-4961-B622-7A24882198EC}"/>
              </c:ext>
            </c:extLst>
          </c:dPt>
          <c:dPt>
            <c:idx val="5"/>
            <c:invertIfNegative val="0"/>
            <c:bubble3D val="0"/>
            <c:extLst>
              <c:ext xmlns:c16="http://schemas.microsoft.com/office/drawing/2014/chart" uri="{C3380CC4-5D6E-409C-BE32-E72D297353CC}">
                <c16:uniqueId val="{00000005-7789-4961-B622-7A24882198EC}"/>
              </c:ext>
            </c:extLst>
          </c:dPt>
          <c:dPt>
            <c:idx val="6"/>
            <c:invertIfNegative val="0"/>
            <c:bubble3D val="0"/>
            <c:spPr>
              <a:solidFill>
                <a:schemeClr val="tx2">
                  <a:lumMod val="75000"/>
                  <a:lumOff val="25000"/>
                </a:schemeClr>
              </a:solidFill>
              <a:ln>
                <a:solidFill>
                  <a:schemeClr val="tx1"/>
                </a:solidFill>
              </a:ln>
              <a:effectLst/>
            </c:spPr>
            <c:extLst>
              <c:ext xmlns:c16="http://schemas.microsoft.com/office/drawing/2014/chart" uri="{C3380CC4-5D6E-409C-BE32-E72D297353CC}">
                <c16:uniqueId val="{00000006-7789-4961-B622-7A24882198EC}"/>
              </c:ext>
            </c:extLst>
          </c:dPt>
          <c:dLbls>
            <c:dLbl>
              <c:idx val="0"/>
              <c:layout>
                <c:manualLayout>
                  <c:x val="0.4444444444444444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789-4961-B622-7A24882198EC}"/>
                </c:ext>
              </c:extLst>
            </c:dLbl>
            <c:dLbl>
              <c:idx val="2"/>
              <c:layout>
                <c:manualLayout>
                  <c:x val="0.2055555555555554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789-4961-B622-7A24882198EC}"/>
                </c:ext>
              </c:extLst>
            </c:dLbl>
            <c:dLbl>
              <c:idx val="4"/>
              <c:layout>
                <c:manualLayout>
                  <c:x val="0.2027777777777777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789-4961-B622-7A24882198EC}"/>
                </c:ext>
              </c:extLst>
            </c:dLbl>
            <c:dLbl>
              <c:idx val="6"/>
              <c:layout>
                <c:manualLayout>
                  <c:x val="0.2666666666666666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789-4961-B622-7A24882198EC}"/>
                </c:ext>
              </c:extLst>
            </c:dLbl>
            <c:spPr>
              <a:solidFill>
                <a:srgbClr val="FFC0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Dashboard!$A$4:$A$10</c:f>
              <c:strCache>
                <c:ptCount val="7"/>
                <c:pt idx="0">
                  <c:v>Arif</c:v>
                </c:pt>
                <c:pt idx="1">
                  <c:v>Habib</c:v>
                </c:pt>
                <c:pt idx="2">
                  <c:v>Imran</c:v>
                </c:pt>
                <c:pt idx="3">
                  <c:v>Kamal</c:v>
                </c:pt>
                <c:pt idx="4">
                  <c:v>Nasir</c:v>
                </c:pt>
                <c:pt idx="5">
                  <c:v>Sohel</c:v>
                </c:pt>
                <c:pt idx="6">
                  <c:v>Tanvir</c:v>
                </c:pt>
              </c:strCache>
            </c:strRef>
          </c:cat>
          <c:val>
            <c:numRef>
              <c:f>Dashboard!$B$4:$B$10</c:f>
              <c:numCache>
                <c:formatCode>General</c:formatCode>
                <c:ptCount val="7"/>
                <c:pt idx="0">
                  <c:v>425</c:v>
                </c:pt>
                <c:pt idx="1">
                  <c:v>344</c:v>
                </c:pt>
                <c:pt idx="2">
                  <c:v>368</c:v>
                </c:pt>
                <c:pt idx="3">
                  <c:v>351</c:v>
                </c:pt>
                <c:pt idx="4">
                  <c:v>368</c:v>
                </c:pt>
                <c:pt idx="5">
                  <c:v>341</c:v>
                </c:pt>
                <c:pt idx="6">
                  <c:v>383</c:v>
                </c:pt>
              </c:numCache>
            </c:numRef>
          </c:val>
          <c:extLst>
            <c:ext xmlns:c16="http://schemas.microsoft.com/office/drawing/2014/chart" uri="{C3380CC4-5D6E-409C-BE32-E72D297353CC}">
              <c16:uniqueId val="{00000000-7789-4961-B622-7A24882198EC}"/>
            </c:ext>
          </c:extLst>
        </c:ser>
        <c:dLbls>
          <c:showLegendKey val="0"/>
          <c:showVal val="0"/>
          <c:showCatName val="0"/>
          <c:showSerName val="0"/>
          <c:showPercent val="0"/>
          <c:showBubbleSize val="0"/>
        </c:dLbls>
        <c:gapWidth val="150"/>
        <c:overlap val="100"/>
        <c:axId val="352466927"/>
        <c:axId val="352479407"/>
      </c:barChart>
      <c:catAx>
        <c:axId val="352466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2479407"/>
        <c:crosses val="autoZero"/>
        <c:auto val="1"/>
        <c:lblAlgn val="ctr"/>
        <c:lblOffset val="100"/>
        <c:noMultiLvlLbl val="0"/>
      </c:catAx>
      <c:valAx>
        <c:axId val="352479407"/>
        <c:scaling>
          <c:orientation val="minMax"/>
        </c:scaling>
        <c:delete val="1"/>
        <c:axPos val="b"/>
        <c:numFmt formatCode="General" sourceLinked="1"/>
        <c:majorTickMark val="none"/>
        <c:minorTickMark val="none"/>
        <c:tickLblPos val="nextTo"/>
        <c:crossAx val="35246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Sales Performance Dashboard.xlsm]Dashboard!PivotTable3</c:name>
    <c:fmtId val="0"/>
  </c:pivotSource>
  <c:chart>
    <c:autoTitleDeleted val="1"/>
    <c:pivotFmts>
      <c:pivotFmt>
        <c:idx val="0"/>
        <c:spPr>
          <a:solidFill>
            <a:schemeClr val="accent1"/>
          </a:solidFill>
          <a:ln>
            <a:solidFill>
              <a:schemeClr val="tx1"/>
            </a:solid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solidFill>
              <a:schemeClr val="tx1"/>
            </a:solidFill>
          </a:ln>
          <a:effectLst>
            <a:outerShdw blurRad="254000" sx="102000" sy="102000" algn="ctr" rotWithShape="0">
              <a:prstClr val="black">
                <a:alpha val="20000"/>
              </a:prstClr>
            </a:outerShdw>
          </a:effectLst>
        </c:spPr>
      </c:pivotFmt>
      <c:pivotFmt>
        <c:idx val="2"/>
        <c:spPr>
          <a:solidFill>
            <a:schemeClr val="accent1"/>
          </a:solidFill>
          <a:ln>
            <a:solidFill>
              <a:schemeClr val="tx1"/>
            </a:solidFill>
          </a:ln>
          <a:effectLst>
            <a:outerShdw blurRad="254000" sx="102000" sy="102000" algn="ctr" rotWithShape="0">
              <a:prstClr val="black">
                <a:alpha val="20000"/>
              </a:prstClr>
            </a:outerShdw>
          </a:effectLst>
        </c:spPr>
      </c:pivotFmt>
      <c:pivotFmt>
        <c:idx val="3"/>
        <c:spPr>
          <a:solidFill>
            <a:schemeClr val="accent1"/>
          </a:solidFill>
          <a:ln>
            <a:solidFill>
              <a:schemeClr val="tx1"/>
            </a:solidFill>
          </a:ln>
          <a:effectLst>
            <a:outerShdw blurRad="254000" sx="102000" sy="102000" algn="ctr" rotWithShape="0">
              <a:prstClr val="black">
                <a:alpha val="20000"/>
              </a:prstClr>
            </a:outerShdw>
          </a:effectLst>
        </c:spPr>
      </c:pivotFmt>
      <c:pivotFmt>
        <c:idx val="4"/>
        <c:spPr>
          <a:solidFill>
            <a:schemeClr val="accent1"/>
          </a:solidFill>
          <a:ln>
            <a:solidFill>
              <a:schemeClr val="tx1"/>
            </a:solidFill>
          </a:ln>
          <a:effectLst>
            <a:outerShdw blurRad="254000" sx="102000" sy="102000" algn="ctr" rotWithShape="0">
              <a:prstClr val="black">
                <a:alpha val="20000"/>
              </a:prstClr>
            </a:outerShdw>
          </a:effectLst>
        </c:spPr>
      </c:pivotFmt>
      <c:pivotFmt>
        <c:idx val="5"/>
        <c:spPr>
          <a:solidFill>
            <a:schemeClr val="accent1"/>
          </a:solidFill>
          <a:ln>
            <a:solidFill>
              <a:schemeClr val="tx1"/>
            </a:solidFill>
          </a:ln>
          <a:effectLst>
            <a:outerShdw blurRad="254000" sx="102000" sy="102000" algn="ctr" rotWithShape="0">
              <a:prstClr val="black">
                <a:alpha val="20000"/>
              </a:prstClr>
            </a:outerShdw>
          </a:effectLst>
        </c:spPr>
      </c:pivotFmt>
      <c:pivotFmt>
        <c:idx val="6"/>
        <c:spPr>
          <a:solidFill>
            <a:schemeClr val="accent1"/>
          </a:solidFill>
          <a:ln>
            <a:solidFill>
              <a:schemeClr val="tx1"/>
            </a:solidFill>
          </a:ln>
          <a:effectLst>
            <a:outerShdw blurRad="254000" sx="102000" sy="102000" algn="ctr" rotWithShape="0">
              <a:prstClr val="black">
                <a:alpha val="20000"/>
              </a:prstClr>
            </a:outerShdw>
          </a:effectLst>
        </c:spPr>
      </c:pivotFmt>
      <c:pivotFmt>
        <c:idx val="7"/>
        <c:spPr>
          <a:solidFill>
            <a:schemeClr val="accent1"/>
          </a:solidFill>
          <a:ln>
            <a:solidFill>
              <a:schemeClr val="tx1"/>
            </a:solidFill>
          </a:ln>
          <a:effectLst>
            <a:outerShdw blurRad="254000" sx="102000" sy="102000" algn="ctr" rotWithShape="0">
              <a:prstClr val="black">
                <a:alpha val="20000"/>
              </a:prstClr>
            </a:outerShdw>
          </a:effectLst>
        </c:spPr>
      </c:pivotFmt>
      <c:pivotFmt>
        <c:idx val="8"/>
        <c:spPr>
          <a:solidFill>
            <a:schemeClr val="accent1"/>
          </a:solidFill>
          <a:ln>
            <a:solidFill>
              <a:schemeClr val="tx1"/>
            </a:solidFill>
          </a:ln>
          <a:effectLst>
            <a:outerShdw blurRad="254000" sx="102000" sy="102000" algn="ctr" rotWithShape="0">
              <a:prstClr val="black">
                <a:alpha val="20000"/>
              </a:prstClr>
            </a:outerShdw>
          </a:effectLst>
        </c:spPr>
      </c:pivotFmt>
      <c:pivotFmt>
        <c:idx val="9"/>
        <c:spPr>
          <a:solidFill>
            <a:schemeClr val="accent1"/>
          </a:solidFill>
          <a:ln>
            <a:solidFill>
              <a:schemeClr val="tx1"/>
            </a:solidFill>
          </a:ln>
          <a:effectLst>
            <a:outerShdw blurRad="254000" sx="102000" sy="102000" algn="ctr" rotWithShape="0">
              <a:prstClr val="black">
                <a:alpha val="20000"/>
              </a:prstClr>
            </a:outerShdw>
          </a:effectLst>
        </c:spPr>
      </c:pivotFmt>
      <c:pivotFmt>
        <c:idx val="10"/>
        <c:spPr>
          <a:solidFill>
            <a:schemeClr val="accent1"/>
          </a:solidFill>
          <a:ln>
            <a:solidFill>
              <a:schemeClr val="tx1"/>
            </a:solid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spPr>
            <a:ln>
              <a:solidFill>
                <a:schemeClr val="tx1"/>
              </a:solidFill>
            </a:ln>
          </c:spPr>
          <c:dPt>
            <c:idx val="0"/>
            <c:bubble3D val="0"/>
            <c:spPr>
              <a:solidFill>
                <a:schemeClr val="accent1"/>
              </a:solidFill>
              <a:ln>
                <a:solidFill>
                  <a:schemeClr val="tx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1E0-4DAB-A1BD-40530A2EC939}"/>
              </c:ext>
            </c:extLst>
          </c:dPt>
          <c:dPt>
            <c:idx val="1"/>
            <c:bubble3D val="0"/>
            <c:spPr>
              <a:solidFill>
                <a:schemeClr val="accent2"/>
              </a:solidFill>
              <a:ln>
                <a:solidFill>
                  <a:schemeClr val="tx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1E0-4DAB-A1BD-40530A2EC939}"/>
              </c:ext>
            </c:extLst>
          </c:dPt>
          <c:dPt>
            <c:idx val="2"/>
            <c:bubble3D val="0"/>
            <c:spPr>
              <a:solidFill>
                <a:schemeClr val="accent3"/>
              </a:solidFill>
              <a:ln>
                <a:solidFill>
                  <a:schemeClr val="tx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1E0-4DAB-A1BD-40530A2EC939}"/>
              </c:ext>
            </c:extLst>
          </c:dPt>
          <c:dPt>
            <c:idx val="3"/>
            <c:bubble3D val="0"/>
            <c:spPr>
              <a:solidFill>
                <a:schemeClr val="accent4"/>
              </a:solidFill>
              <a:ln>
                <a:solidFill>
                  <a:schemeClr val="tx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1E0-4DAB-A1BD-40530A2EC939}"/>
              </c:ext>
            </c:extLst>
          </c:dPt>
          <c:dPt>
            <c:idx val="4"/>
            <c:bubble3D val="0"/>
            <c:spPr>
              <a:solidFill>
                <a:schemeClr val="accent5"/>
              </a:solidFill>
              <a:ln>
                <a:solidFill>
                  <a:schemeClr val="tx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1E0-4DAB-A1BD-40530A2EC939}"/>
              </c:ext>
            </c:extLst>
          </c:dPt>
          <c:dPt>
            <c:idx val="5"/>
            <c:bubble3D val="0"/>
            <c:spPr>
              <a:solidFill>
                <a:schemeClr val="accent6"/>
              </a:solidFill>
              <a:ln>
                <a:solidFill>
                  <a:schemeClr val="tx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B1E0-4DAB-A1BD-40530A2EC939}"/>
              </c:ext>
            </c:extLst>
          </c:dPt>
          <c:dPt>
            <c:idx val="6"/>
            <c:bubble3D val="0"/>
            <c:spPr>
              <a:solidFill>
                <a:schemeClr val="accent1">
                  <a:lumMod val="60000"/>
                </a:schemeClr>
              </a:solidFill>
              <a:ln>
                <a:solidFill>
                  <a:schemeClr val="tx1"/>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B1E0-4DAB-A1BD-40530A2EC93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Dashboard!$G$4:$G$10</c:f>
              <c:strCache>
                <c:ptCount val="7"/>
                <c:pt idx="0">
                  <c:v>Arif</c:v>
                </c:pt>
                <c:pt idx="1">
                  <c:v>Habib</c:v>
                </c:pt>
                <c:pt idx="2">
                  <c:v>Imran</c:v>
                </c:pt>
                <c:pt idx="3">
                  <c:v>Kamal</c:v>
                </c:pt>
                <c:pt idx="4">
                  <c:v>Nasir</c:v>
                </c:pt>
                <c:pt idx="5">
                  <c:v>Sohel</c:v>
                </c:pt>
                <c:pt idx="6">
                  <c:v>Tanvir</c:v>
                </c:pt>
              </c:strCache>
            </c:strRef>
          </c:cat>
          <c:val>
            <c:numRef>
              <c:f>Dashboard!$H$4:$H$10</c:f>
              <c:numCache>
                <c:formatCode>0.00%</c:formatCode>
                <c:ptCount val="7"/>
                <c:pt idx="0">
                  <c:v>0.85</c:v>
                </c:pt>
                <c:pt idx="1">
                  <c:v>0.68799999999999994</c:v>
                </c:pt>
                <c:pt idx="2">
                  <c:v>0.73599999999999999</c:v>
                </c:pt>
                <c:pt idx="3">
                  <c:v>0.70199999999999996</c:v>
                </c:pt>
                <c:pt idx="4">
                  <c:v>0.73599999999999999</c:v>
                </c:pt>
                <c:pt idx="5">
                  <c:v>0.68200000000000005</c:v>
                </c:pt>
                <c:pt idx="6">
                  <c:v>0.76600000000000001</c:v>
                </c:pt>
              </c:numCache>
            </c:numRef>
          </c:val>
          <c:extLst>
            <c:ext xmlns:c16="http://schemas.microsoft.com/office/drawing/2014/chart" uri="{C3380CC4-5D6E-409C-BE32-E72D297353CC}">
              <c16:uniqueId val="{00000000-ADD5-49D6-B76D-323667759D4D}"/>
            </c:ext>
          </c:extLst>
        </c:ser>
        <c:dLbls>
          <c:dLblPos val="ctr"/>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Sales Performance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solidFill>
                  <a:schemeClr val="tx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Dashboard!$J$4:$J$11</c:f>
              <c:strCache>
                <c:ptCount val="8"/>
                <c:pt idx="0">
                  <c:v>Anis</c:v>
                </c:pt>
                <c:pt idx="1">
                  <c:v>Habib</c:v>
                </c:pt>
                <c:pt idx="2">
                  <c:v>Imran</c:v>
                </c:pt>
                <c:pt idx="3">
                  <c:v>Kamal</c:v>
                </c:pt>
                <c:pt idx="4">
                  <c:v>Nasir</c:v>
                </c:pt>
                <c:pt idx="5">
                  <c:v>Rahim</c:v>
                </c:pt>
                <c:pt idx="6">
                  <c:v>Shakil</c:v>
                </c:pt>
                <c:pt idx="7">
                  <c:v>Sohel</c:v>
                </c:pt>
              </c:strCache>
            </c:strRef>
          </c:cat>
          <c:val>
            <c:numRef>
              <c:f>Dashboard!$K$4:$K$11</c:f>
              <c:numCache>
                <c:formatCode>0.00%</c:formatCode>
                <c:ptCount val="8"/>
                <c:pt idx="0">
                  <c:v>0.45199999999999996</c:v>
                </c:pt>
                <c:pt idx="1">
                  <c:v>0.31200000000000006</c:v>
                </c:pt>
                <c:pt idx="2">
                  <c:v>0.26400000000000001</c:v>
                </c:pt>
                <c:pt idx="3">
                  <c:v>0.29800000000000004</c:v>
                </c:pt>
                <c:pt idx="4">
                  <c:v>0.26400000000000001</c:v>
                </c:pt>
                <c:pt idx="5">
                  <c:v>0.36399999999999999</c:v>
                </c:pt>
                <c:pt idx="6">
                  <c:v>0.35399999999999998</c:v>
                </c:pt>
                <c:pt idx="7">
                  <c:v>0.31799999999999995</c:v>
                </c:pt>
              </c:numCache>
            </c:numRef>
          </c:val>
          <c:smooth val="0"/>
          <c:extLst>
            <c:ext xmlns:c16="http://schemas.microsoft.com/office/drawing/2014/chart" uri="{C3380CC4-5D6E-409C-BE32-E72D297353CC}">
              <c16:uniqueId val="{00000000-D7DD-4F9B-B402-13CEB09123A3}"/>
            </c:ext>
          </c:extLst>
        </c:ser>
        <c:dLbls>
          <c:showLegendKey val="0"/>
          <c:showVal val="0"/>
          <c:showCatName val="0"/>
          <c:showSerName val="0"/>
          <c:showPercent val="0"/>
          <c:showBubbleSize val="0"/>
        </c:dLbls>
        <c:smooth val="0"/>
        <c:axId val="352502927"/>
        <c:axId val="352506287"/>
      </c:lineChart>
      <c:catAx>
        <c:axId val="352502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52506287"/>
        <c:crosses val="autoZero"/>
        <c:auto val="1"/>
        <c:lblAlgn val="ctr"/>
        <c:lblOffset val="100"/>
        <c:noMultiLvlLbl val="0"/>
      </c:catAx>
      <c:valAx>
        <c:axId val="352506287"/>
        <c:scaling>
          <c:orientation val="minMax"/>
        </c:scaling>
        <c:delete val="1"/>
        <c:axPos val="l"/>
        <c:numFmt formatCode="0.00%" sourceLinked="1"/>
        <c:majorTickMark val="none"/>
        <c:minorTickMark val="none"/>
        <c:tickLblPos val="nextTo"/>
        <c:crossAx val="352502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160020</xdr:rowOff>
    </xdr:from>
    <xdr:to>
      <xdr:col>4</xdr:col>
      <xdr:colOff>609600</xdr:colOff>
      <xdr:row>22</xdr:row>
      <xdr:rowOff>60960</xdr:rowOff>
    </xdr:to>
    <xdr:graphicFrame macro="">
      <xdr:nvGraphicFramePr>
        <xdr:cNvPr id="2" name="Chart 1">
          <a:extLst>
            <a:ext uri="{FF2B5EF4-FFF2-40B4-BE49-F238E27FC236}">
              <a16:creationId xmlns:a16="http://schemas.microsoft.com/office/drawing/2014/main" id="{38DF315B-A752-EFEE-2C0A-676002CB82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xdr:colOff>
      <xdr:row>10</xdr:row>
      <xdr:rowOff>152400</xdr:rowOff>
    </xdr:from>
    <xdr:to>
      <xdr:col>8</xdr:col>
      <xdr:colOff>45720</xdr:colOff>
      <xdr:row>22</xdr:row>
      <xdr:rowOff>60960</xdr:rowOff>
    </xdr:to>
    <xdr:graphicFrame macro="">
      <xdr:nvGraphicFramePr>
        <xdr:cNvPr id="3" name="Chart 2">
          <a:extLst>
            <a:ext uri="{FF2B5EF4-FFF2-40B4-BE49-F238E27FC236}">
              <a16:creationId xmlns:a16="http://schemas.microsoft.com/office/drawing/2014/main" id="{6A5B9EBA-800D-3703-3784-99A3FAC777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182880</xdr:colOff>
      <xdr:row>10</xdr:row>
      <xdr:rowOff>144780</xdr:rowOff>
    </xdr:from>
    <xdr:to>
      <xdr:col>11</xdr:col>
      <xdr:colOff>7620</xdr:colOff>
      <xdr:row>22</xdr:row>
      <xdr:rowOff>45720</xdr:rowOff>
    </xdr:to>
    <xdr:graphicFrame macro="">
      <xdr:nvGraphicFramePr>
        <xdr:cNvPr id="4" name="Chart 3">
          <a:extLst>
            <a:ext uri="{FF2B5EF4-FFF2-40B4-BE49-F238E27FC236}">
              <a16:creationId xmlns:a16="http://schemas.microsoft.com/office/drawing/2014/main" id="{AF9EFCE0-B0B9-98C0-3EE7-62AFEC98AD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1485900</xdr:colOff>
      <xdr:row>1</xdr:row>
      <xdr:rowOff>426719</xdr:rowOff>
    </xdr:to>
    <mc:AlternateContent xmlns:mc="http://schemas.openxmlformats.org/markup-compatibility/2006" xmlns:a14="http://schemas.microsoft.com/office/drawing/2010/main">
      <mc:Choice Requires="a14">
        <xdr:graphicFrame macro="">
          <xdr:nvGraphicFramePr>
            <xdr:cNvPr id="5" name="City">
              <a:extLst>
                <a:ext uri="{FF2B5EF4-FFF2-40B4-BE49-F238E27FC236}">
                  <a16:creationId xmlns:a16="http://schemas.microsoft.com/office/drawing/2014/main" id="{E932CA2A-B823-A967-A966-2E2BE0B5206A}"/>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0" y="0"/>
              <a:ext cx="9275233" cy="7145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205740</xdr:colOff>
      <xdr:row>1</xdr:row>
      <xdr:rowOff>533400</xdr:rowOff>
    </xdr:from>
    <xdr:to>
      <xdr:col>1</xdr:col>
      <xdr:colOff>335280</xdr:colOff>
      <xdr:row>1</xdr:row>
      <xdr:rowOff>937260</xdr:rowOff>
    </xdr:to>
    <xdr:sp macro="" textlink="">
      <xdr:nvSpPr>
        <xdr:cNvPr id="6" name="Speech Bubble: Rectangle with Corners Rounded 5">
          <a:extLst>
            <a:ext uri="{FF2B5EF4-FFF2-40B4-BE49-F238E27FC236}">
              <a16:creationId xmlns:a16="http://schemas.microsoft.com/office/drawing/2014/main" id="{72D92685-2C35-CC13-909B-59740480CCFC}"/>
            </a:ext>
          </a:extLst>
        </xdr:cNvPr>
        <xdr:cNvSpPr/>
      </xdr:nvSpPr>
      <xdr:spPr>
        <a:xfrm>
          <a:off x="205740" y="716280"/>
          <a:ext cx="1242060" cy="40386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342900</xdr:colOff>
          <xdr:row>1</xdr:row>
          <xdr:rowOff>632460</xdr:rowOff>
        </xdr:from>
        <xdr:to>
          <xdr:col>1</xdr:col>
          <xdr:colOff>167640</xdr:colOff>
          <xdr:row>1</xdr:row>
          <xdr:rowOff>853440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 </a:t>
              </a:r>
            </a:p>
          </xdr:txBody>
        </xdr:sp>
        <xdr:clientData/>
      </xdr:twoCellAnchor>
    </mc:Choice>
    <mc:Fallback/>
  </mc:AlternateContent>
  <xdr:twoCellAnchor>
    <xdr:from>
      <xdr:col>3</xdr:col>
      <xdr:colOff>304800</xdr:colOff>
      <xdr:row>1</xdr:row>
      <xdr:rowOff>533400</xdr:rowOff>
    </xdr:from>
    <xdr:to>
      <xdr:col>4</xdr:col>
      <xdr:colOff>434340</xdr:colOff>
      <xdr:row>1</xdr:row>
      <xdr:rowOff>937260</xdr:rowOff>
    </xdr:to>
    <xdr:sp macro="" textlink="">
      <xdr:nvSpPr>
        <xdr:cNvPr id="7" name="Speech Bubble: Rectangle with Corners Rounded 6">
          <a:extLst>
            <a:ext uri="{FF2B5EF4-FFF2-40B4-BE49-F238E27FC236}">
              <a16:creationId xmlns:a16="http://schemas.microsoft.com/office/drawing/2014/main" id="{CA41A6C3-2384-427A-985E-D0461FA70B68}"/>
            </a:ext>
          </a:extLst>
        </xdr:cNvPr>
        <xdr:cNvSpPr/>
      </xdr:nvSpPr>
      <xdr:spPr>
        <a:xfrm>
          <a:off x="2423160" y="716280"/>
          <a:ext cx="1242060" cy="40386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xdr:row>
          <xdr:rowOff>632460</xdr:rowOff>
        </xdr:from>
        <xdr:to>
          <xdr:col>4</xdr:col>
          <xdr:colOff>266700</xdr:colOff>
          <xdr:row>1</xdr:row>
          <xdr:rowOff>853440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525780</xdr:colOff>
      <xdr:row>1</xdr:row>
      <xdr:rowOff>533400</xdr:rowOff>
    </xdr:from>
    <xdr:to>
      <xdr:col>7</xdr:col>
      <xdr:colOff>655320</xdr:colOff>
      <xdr:row>1</xdr:row>
      <xdr:rowOff>937260</xdr:rowOff>
    </xdr:to>
    <xdr:sp macro="" textlink="">
      <xdr:nvSpPr>
        <xdr:cNvPr id="8" name="Speech Bubble: Rectangle with Corners Rounded 7">
          <a:extLst>
            <a:ext uri="{FF2B5EF4-FFF2-40B4-BE49-F238E27FC236}">
              <a16:creationId xmlns:a16="http://schemas.microsoft.com/office/drawing/2014/main" id="{F8E1DD5E-6BD0-4D3C-9F89-B12140648C90}"/>
            </a:ext>
          </a:extLst>
        </xdr:cNvPr>
        <xdr:cNvSpPr/>
      </xdr:nvSpPr>
      <xdr:spPr>
        <a:xfrm>
          <a:off x="4747260" y="716280"/>
          <a:ext cx="1242060" cy="40386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662940</xdr:colOff>
          <xdr:row>1</xdr:row>
          <xdr:rowOff>632460</xdr:rowOff>
        </xdr:from>
        <xdr:to>
          <xdr:col>7</xdr:col>
          <xdr:colOff>487680</xdr:colOff>
          <xdr:row>1</xdr:row>
          <xdr:rowOff>853440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 </a:t>
              </a:r>
            </a:p>
          </xdr:txBody>
        </xdr:sp>
        <xdr:clientData/>
      </xdr:twoCellAnchor>
    </mc:Choice>
    <mc:Fallback/>
  </mc:AlternateContent>
  <xdr:twoCellAnchor>
    <xdr:from>
      <xdr:col>9</xdr:col>
      <xdr:colOff>693420</xdr:colOff>
      <xdr:row>1</xdr:row>
      <xdr:rowOff>518160</xdr:rowOff>
    </xdr:from>
    <xdr:to>
      <xdr:col>10</xdr:col>
      <xdr:colOff>822960</xdr:colOff>
      <xdr:row>1</xdr:row>
      <xdr:rowOff>922020</xdr:rowOff>
    </xdr:to>
    <xdr:sp macro="" textlink="">
      <xdr:nvSpPr>
        <xdr:cNvPr id="9" name="Speech Bubble: Rectangle with Corners Rounded 8">
          <a:extLst>
            <a:ext uri="{FF2B5EF4-FFF2-40B4-BE49-F238E27FC236}">
              <a16:creationId xmlns:a16="http://schemas.microsoft.com/office/drawing/2014/main" id="{5E3A41F9-883D-43D6-8530-1F513FB8E9AC}"/>
            </a:ext>
          </a:extLst>
        </xdr:cNvPr>
        <xdr:cNvSpPr/>
      </xdr:nvSpPr>
      <xdr:spPr>
        <a:xfrm>
          <a:off x="7383780" y="701040"/>
          <a:ext cx="1242060" cy="403860"/>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830580</xdr:colOff>
          <xdr:row>1</xdr:row>
          <xdr:rowOff>617220</xdr:rowOff>
        </xdr:from>
        <xdr:to>
          <xdr:col>10</xdr:col>
          <xdr:colOff>655320</xdr:colOff>
          <xdr:row>1</xdr:row>
          <xdr:rowOff>838200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tage Systems" refreshedDate="46020.850789814816" createdVersion="8" refreshedVersion="8" minRefreshableVersion="3" recordCount="20" xr:uid="{328FDCCE-81BF-4745-B789-25D3B47B0D28}">
  <cacheSource type="worksheet">
    <worksheetSource ref="A1:L21" sheet="Raw Data"/>
  </cacheSource>
  <cacheFields count="12">
    <cacheField name="Employee Code" numFmtId="0">
      <sharedItems/>
    </cacheField>
    <cacheField name="Sales Executive" numFmtId="0">
      <sharedItems count="20">
        <s v="Rahim"/>
        <s v="Karim"/>
        <s v="Sohel"/>
        <s v="Rubel"/>
        <s v="Jasim"/>
        <s v="Kamal"/>
        <s v="Habib"/>
        <s v="Masud"/>
        <s v="Imran"/>
        <s v="Faruk"/>
        <s v="Shakil"/>
        <s v="Rashed"/>
        <s v="Arif"/>
        <s v="Sajib"/>
        <s v="Tanvir"/>
        <s v="Nasir"/>
        <s v="Mahmud"/>
        <s v="Anis"/>
        <s v="Jalal"/>
        <s v="Ashraf"/>
      </sharedItems>
    </cacheField>
    <cacheField name="City" numFmtId="0">
      <sharedItems count="16">
        <s v="Dhaka"/>
        <s v="Chattogram"/>
        <s v="Sylhet"/>
        <s v="Rajshahi"/>
        <s v="Khulna"/>
        <s v="Dinajpur"/>
        <s v="Bogura"/>
        <s v="Cumilla"/>
        <s v="Gazipur"/>
        <s v="Jessore"/>
        <s v="Mymansingh"/>
        <s v="Sirajganj"/>
        <s v="Natore"/>
        <s v="Kishorganj"/>
        <s v="Jamalpur"/>
        <s v="Tangail"/>
      </sharedItems>
    </cacheField>
    <cacheField name="Day1" numFmtId="0">
      <sharedItems containsSemiMixedTypes="0" containsString="0" containsNumber="1" containsInteger="1" minValue="41" maxValue="95"/>
    </cacheField>
    <cacheField name="Day2" numFmtId="0">
      <sharedItems containsSemiMixedTypes="0" containsString="0" containsNumber="1" containsInteger="1" minValue="40" maxValue="95"/>
    </cacheField>
    <cacheField name="Day3" numFmtId="0">
      <sharedItems containsSemiMixedTypes="0" containsString="0" containsNumber="1" containsInteger="1" minValue="45" maxValue="90"/>
    </cacheField>
    <cacheField name="Day4" numFmtId="0">
      <sharedItems containsSemiMixedTypes="0" containsString="0" containsNumber="1" containsInteger="1" minValue="40" maxValue="95"/>
    </cacheField>
    <cacheField name="Day5" numFmtId="0">
      <sharedItems containsSemiMixedTypes="0" containsString="0" containsNumber="1" containsInteger="1" minValue="40" maxValue="93"/>
    </cacheField>
    <cacheField name="Total Sales" numFmtId="0">
      <sharedItems containsSemiMixedTypes="0" containsString="0" containsNumber="1" containsInteger="1" minValue="263" maxValue="425"/>
    </cacheField>
    <cacheField name="Target" numFmtId="0">
      <sharedItems containsSemiMixedTypes="0" containsString="0" containsNumber="1" containsInteger="1" minValue="500" maxValue="500"/>
    </cacheField>
    <cacheField name="Target Hit%" numFmtId="10">
      <sharedItems containsSemiMixedTypes="0" containsString="0" containsNumber="1" minValue="0.52600000000000002" maxValue="0.85"/>
    </cacheField>
    <cacheField name="Away From Target%" numFmtId="10">
      <sharedItems containsSemiMixedTypes="0" containsString="0" containsNumber="1" minValue="0.15000000000000002" maxValue="0.47399999999999998"/>
    </cacheField>
  </cacheFields>
  <extLst>
    <ext xmlns:x14="http://schemas.microsoft.com/office/spreadsheetml/2009/9/main" uri="{725AE2AE-9491-48be-B2B4-4EB974FC3084}">
      <x14:pivotCacheDefinition pivotCacheId="2050042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DHA-TCL001"/>
    <x v="0"/>
    <x v="0"/>
    <n v="41"/>
    <n v="77"/>
    <n v="76"/>
    <n v="53"/>
    <n v="71"/>
    <n v="318"/>
    <n v="500"/>
    <n v="0.63600000000000001"/>
    <n v="0.36399999999999999"/>
  </r>
  <r>
    <s v="DHA-TCL002"/>
    <x v="1"/>
    <x v="1"/>
    <n v="83"/>
    <n v="71"/>
    <n v="47"/>
    <n v="50"/>
    <n v="47"/>
    <n v="298"/>
    <n v="500"/>
    <n v="0.59599999999999997"/>
    <n v="0.40400000000000003"/>
  </r>
  <r>
    <s v="DHA-TCL003"/>
    <x v="2"/>
    <x v="2"/>
    <n v="51"/>
    <n v="66"/>
    <n v="51"/>
    <n v="80"/>
    <n v="93"/>
    <n v="341"/>
    <n v="500"/>
    <n v="0.68200000000000005"/>
    <n v="0.31799999999999995"/>
  </r>
  <r>
    <s v="DHA-TCL004"/>
    <x v="3"/>
    <x v="3"/>
    <n v="56"/>
    <n v="71"/>
    <n v="71"/>
    <n v="57"/>
    <n v="57"/>
    <n v="312"/>
    <n v="500"/>
    <n v="0.624"/>
    <n v="0.376"/>
  </r>
  <r>
    <s v="DHA-TCL005"/>
    <x v="4"/>
    <x v="4"/>
    <n v="92"/>
    <n v="50"/>
    <n v="70"/>
    <n v="63"/>
    <n v="93"/>
    <n v="368"/>
    <n v="500"/>
    <n v="0.73599999999999999"/>
    <n v="0.26400000000000001"/>
  </r>
  <r>
    <s v="DHA-TCL006"/>
    <x v="5"/>
    <x v="5"/>
    <n v="50"/>
    <n v="95"/>
    <n v="89"/>
    <n v="77"/>
    <n v="40"/>
    <n v="351"/>
    <n v="500"/>
    <n v="0.70199999999999996"/>
    <n v="0.29800000000000004"/>
  </r>
  <r>
    <s v="DHA-TCL007"/>
    <x v="6"/>
    <x v="6"/>
    <n v="84"/>
    <n v="62"/>
    <n v="83"/>
    <n v="59"/>
    <n v="56"/>
    <n v="344"/>
    <n v="500"/>
    <n v="0.68799999999999994"/>
    <n v="0.31200000000000006"/>
  </r>
  <r>
    <s v="DHA-TCL008"/>
    <x v="7"/>
    <x v="7"/>
    <n v="45"/>
    <n v="61"/>
    <n v="46"/>
    <n v="63"/>
    <n v="48"/>
    <n v="263"/>
    <n v="500"/>
    <n v="0.52600000000000002"/>
    <n v="0.47399999999999998"/>
  </r>
  <r>
    <s v="DHA-TCL009"/>
    <x v="8"/>
    <x v="0"/>
    <n v="55"/>
    <n v="84"/>
    <n v="67"/>
    <n v="93"/>
    <n v="69"/>
    <n v="368"/>
    <n v="500"/>
    <n v="0.73599999999999999"/>
    <n v="0.26400000000000001"/>
  </r>
  <r>
    <s v="DHA-TCL010"/>
    <x v="9"/>
    <x v="8"/>
    <n v="61"/>
    <n v="45"/>
    <n v="57"/>
    <n v="52"/>
    <n v="48"/>
    <n v="263"/>
    <n v="500"/>
    <n v="0.52600000000000002"/>
    <n v="0.47399999999999998"/>
  </r>
  <r>
    <s v="DHA-TCL011"/>
    <x v="10"/>
    <x v="9"/>
    <n v="93"/>
    <n v="40"/>
    <n v="53"/>
    <n v="57"/>
    <n v="80"/>
    <n v="323"/>
    <n v="500"/>
    <n v="0.64600000000000002"/>
    <n v="0.35399999999999998"/>
  </r>
  <r>
    <s v="DHA-TCL012"/>
    <x v="11"/>
    <x v="1"/>
    <n v="48"/>
    <n v="87"/>
    <n v="90"/>
    <n v="90"/>
    <n v="81"/>
    <n v="396"/>
    <n v="500"/>
    <n v="0.79200000000000004"/>
    <n v="0.20799999999999996"/>
  </r>
  <r>
    <s v="DHA-TCL013"/>
    <x v="12"/>
    <x v="10"/>
    <n v="91"/>
    <n v="75"/>
    <n v="77"/>
    <n v="95"/>
    <n v="87"/>
    <n v="425"/>
    <n v="500"/>
    <n v="0.85"/>
    <n v="0.15000000000000002"/>
  </r>
  <r>
    <s v="DHA-TCL014"/>
    <x v="13"/>
    <x v="3"/>
    <n v="59"/>
    <n v="87"/>
    <n v="64"/>
    <n v="83"/>
    <n v="79"/>
    <n v="372"/>
    <n v="500"/>
    <n v="0.74399999999999999"/>
    <n v="0.25600000000000001"/>
  </r>
  <r>
    <s v="DHA-TCL015"/>
    <x v="14"/>
    <x v="0"/>
    <n v="95"/>
    <n v="82"/>
    <n v="61"/>
    <n v="85"/>
    <n v="60"/>
    <n v="383"/>
    <n v="500"/>
    <n v="0.76600000000000001"/>
    <n v="0.23399999999999999"/>
  </r>
  <r>
    <s v="DHA-TCL016"/>
    <x v="15"/>
    <x v="11"/>
    <n v="83"/>
    <n v="51"/>
    <n v="89"/>
    <n v="66"/>
    <n v="79"/>
    <n v="368"/>
    <n v="500"/>
    <n v="0.73599999999999999"/>
    <n v="0.26400000000000001"/>
  </r>
  <r>
    <s v="DHA-TCL017"/>
    <x v="16"/>
    <x v="12"/>
    <n v="88"/>
    <n v="65"/>
    <n v="45"/>
    <n v="75"/>
    <n v="65"/>
    <n v="338"/>
    <n v="500"/>
    <n v="0.67600000000000005"/>
    <n v="0.32399999999999995"/>
  </r>
  <r>
    <s v="DHA-TCL018"/>
    <x v="17"/>
    <x v="13"/>
    <n v="57"/>
    <n v="75"/>
    <n v="52"/>
    <n v="40"/>
    <n v="50"/>
    <n v="274"/>
    <n v="500"/>
    <n v="0.54800000000000004"/>
    <n v="0.45199999999999996"/>
  </r>
  <r>
    <s v="DHA-TCL019"/>
    <x v="18"/>
    <x v="14"/>
    <n v="57"/>
    <n v="58"/>
    <n v="74"/>
    <n v="59"/>
    <n v="67"/>
    <n v="315"/>
    <n v="500"/>
    <n v="0.63"/>
    <n v="0.37"/>
  </r>
  <r>
    <s v="DHA-TCL020"/>
    <x v="19"/>
    <x v="15"/>
    <n v="55"/>
    <n v="93"/>
    <n v="46"/>
    <n v="61"/>
    <n v="40"/>
    <n v="295"/>
    <n v="500"/>
    <n v="0.59"/>
    <n v="0.41000000000000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C1EDD4-7B83-474E-880D-0FB3F8FACA1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11" firstHeaderRow="1" firstDataRow="1" firstDataCol="1"/>
  <pivotFields count="12">
    <pivotField showAll="0"/>
    <pivotField axis="axisRow" showAll="0" measureFilter="1">
      <items count="21">
        <item x="17"/>
        <item x="12"/>
        <item x="19"/>
        <item x="9"/>
        <item x="6"/>
        <item x="8"/>
        <item x="18"/>
        <item x="4"/>
        <item x="5"/>
        <item x="1"/>
        <item x="16"/>
        <item x="7"/>
        <item x="15"/>
        <item x="0"/>
        <item x="11"/>
        <item x="3"/>
        <item x="13"/>
        <item x="10"/>
        <item x="2"/>
        <item x="14"/>
        <item t="default"/>
      </items>
    </pivotField>
    <pivotField showAll="0">
      <items count="17">
        <item x="6"/>
        <item h="1" x="1"/>
        <item h="1" x="7"/>
        <item x="0"/>
        <item x="5"/>
        <item h="1" x="8"/>
        <item h="1" x="14"/>
        <item x="9"/>
        <item h="1" x="4"/>
        <item x="13"/>
        <item x="10"/>
        <item h="1" x="12"/>
        <item h="1" x="3"/>
        <item x="11"/>
        <item x="2"/>
        <item h="1" x="1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8">
    <i>
      <x/>
    </i>
    <i>
      <x v="4"/>
    </i>
    <i>
      <x v="5"/>
    </i>
    <i>
      <x v="8"/>
    </i>
    <i>
      <x v="12"/>
    </i>
    <i>
      <x v="13"/>
    </i>
    <i>
      <x v="17"/>
    </i>
    <i>
      <x v="18"/>
    </i>
  </rowItems>
  <colItems count="1">
    <i/>
  </colItems>
  <dataFields count="1">
    <dataField name="Total Sales " fld="8" baseField="1" baseItem="1"/>
  </dataFields>
  <pivotTableStyleInfo name="PivotStyleDark8" showRowHeaders="1" showColHeaders="1" showRowStripes="0" showColStripes="0" showLastColumn="1"/>
  <filters count="1">
    <filter fld="1" type="count" evalOrder="-1" id="9" iMeasureFld="0">
      <autoFilter ref="A1">
        <filterColumn colId="0">
          <top10 top="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DA0CEE-F3A2-42CA-8FE2-835DAAE8D15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10" firstHeaderRow="1" firstDataRow="1" firstDataCol="1"/>
  <pivotFields count="12">
    <pivotField showAll="0"/>
    <pivotField axis="axisRow" showAll="0" measureFilter="1">
      <items count="21">
        <item x="17"/>
        <item x="12"/>
        <item x="19"/>
        <item x="9"/>
        <item x="6"/>
        <item x="8"/>
        <item x="18"/>
        <item x="4"/>
        <item x="5"/>
        <item x="1"/>
        <item x="16"/>
        <item x="7"/>
        <item x="15"/>
        <item x="0"/>
        <item x="11"/>
        <item x="3"/>
        <item x="13"/>
        <item x="10"/>
        <item x="2"/>
        <item x="14"/>
        <item t="default"/>
      </items>
    </pivotField>
    <pivotField showAll="0">
      <items count="17">
        <item x="6"/>
        <item h="1" x="1"/>
        <item h="1" x="7"/>
        <item x="0"/>
        <item x="5"/>
        <item h="1" x="8"/>
        <item h="1" x="14"/>
        <item x="9"/>
        <item h="1" x="4"/>
        <item x="13"/>
        <item x="10"/>
        <item h="1" x="12"/>
        <item h="1" x="3"/>
        <item x="11"/>
        <item x="2"/>
        <item h="1" x="1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7">
    <i>
      <x v="1"/>
    </i>
    <i>
      <x v="4"/>
    </i>
    <i>
      <x v="5"/>
    </i>
    <i>
      <x v="8"/>
    </i>
    <i>
      <x v="12"/>
    </i>
    <i>
      <x v="18"/>
    </i>
    <i>
      <x v="19"/>
    </i>
  </rowItems>
  <colItems count="1">
    <i/>
  </colItems>
  <dataFields count="1">
    <dataField name="Total Sales " fld="8" baseField="1" baseItem="1"/>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
          </reference>
        </references>
      </pivotArea>
    </chartFormat>
    <chartFormat chart="0" format="2">
      <pivotArea type="data" outline="0" fieldPosition="0">
        <references count="2">
          <reference field="4294967294" count="1" selected="0">
            <x v="0"/>
          </reference>
          <reference field="1" count="1" selected="0">
            <x v="12"/>
          </reference>
        </references>
      </pivotArea>
    </chartFormat>
    <chartFormat chart="0" format="3">
      <pivotArea type="data" outline="0" fieldPosition="0">
        <references count="2">
          <reference field="4294967294" count="1" selected="0">
            <x v="0"/>
          </reference>
          <reference field="1" count="1" selected="0">
            <x v="14"/>
          </reference>
        </references>
      </pivotArea>
    </chartFormat>
    <chartFormat chart="0" format="4">
      <pivotArea type="data" outline="0" fieldPosition="0">
        <references count="2">
          <reference field="4294967294" count="1" selected="0">
            <x v="0"/>
          </reference>
          <reference field="1" count="1" selected="0">
            <x v="16"/>
          </reference>
        </references>
      </pivotArea>
    </chartFormat>
    <chartFormat chart="0" format="5">
      <pivotArea type="data" outline="0" fieldPosition="0">
        <references count="2">
          <reference field="4294967294" count="1" selected="0">
            <x v="0"/>
          </reference>
          <reference field="1" count="1" selected="0">
            <x v="19"/>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s>
  <pivotTableStyleInfo name="PivotStyleDark8" showRowHeaders="1" showColHeaders="1" showRowStripes="0" showColStripes="0" showLastColumn="1"/>
  <filters count="1">
    <filter fld="1" type="count" evalOrder="-1" id="9"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B29D94-402A-4991-B23F-F72A07B79FA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11" firstHeaderRow="1" firstDataRow="1" firstDataCol="1"/>
  <pivotFields count="12">
    <pivotField showAll="0"/>
    <pivotField axis="axisRow" showAll="0" measureFilter="1">
      <items count="21">
        <item x="17"/>
        <item x="12"/>
        <item x="19"/>
        <item x="9"/>
        <item x="6"/>
        <item x="8"/>
        <item x="18"/>
        <item x="4"/>
        <item x="5"/>
        <item x="1"/>
        <item x="16"/>
        <item x="7"/>
        <item x="15"/>
        <item x="0"/>
        <item x="11"/>
        <item x="3"/>
        <item x="13"/>
        <item x="10"/>
        <item x="2"/>
        <item x="14"/>
        <item t="default"/>
      </items>
    </pivotField>
    <pivotField showAll="0">
      <items count="17">
        <item x="6"/>
        <item h="1" x="1"/>
        <item h="1" x="7"/>
        <item x="0"/>
        <item x="5"/>
        <item h="1" x="8"/>
        <item h="1" x="14"/>
        <item x="9"/>
        <item h="1" x="4"/>
        <item x="13"/>
        <item x="10"/>
        <item h="1" x="12"/>
        <item h="1" x="3"/>
        <item x="11"/>
        <item x="2"/>
        <item h="1" x="15"/>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8">
    <i>
      <x/>
    </i>
    <i>
      <x v="4"/>
    </i>
    <i>
      <x v="5"/>
    </i>
    <i>
      <x v="8"/>
    </i>
    <i>
      <x v="12"/>
    </i>
    <i>
      <x v="13"/>
    </i>
    <i>
      <x v="17"/>
    </i>
    <i>
      <x v="18"/>
    </i>
  </rowItems>
  <colItems count="1">
    <i/>
  </colItems>
  <dataFields count="1">
    <dataField name="Away From Target % Wise" fld="11" baseField="1" baseItem="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6"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86B993-1CE6-4EBE-B254-CC647B283A3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10" firstHeaderRow="1" firstDataRow="1" firstDataCol="1"/>
  <pivotFields count="12">
    <pivotField showAll="0"/>
    <pivotField axis="axisRow" showAll="0" measureFilter="1">
      <items count="21">
        <item x="17"/>
        <item x="12"/>
        <item x="19"/>
        <item x="9"/>
        <item x="6"/>
        <item x="8"/>
        <item x="18"/>
        <item x="4"/>
        <item x="5"/>
        <item x="1"/>
        <item x="16"/>
        <item x="7"/>
        <item x="15"/>
        <item x="0"/>
        <item x="11"/>
        <item x="3"/>
        <item x="13"/>
        <item x="10"/>
        <item x="2"/>
        <item x="14"/>
        <item t="default"/>
      </items>
    </pivotField>
    <pivotField showAll="0">
      <items count="17">
        <item x="6"/>
        <item h="1" x="1"/>
        <item h="1" x="7"/>
        <item x="0"/>
        <item x="5"/>
        <item h="1" x="8"/>
        <item h="1" x="14"/>
        <item x="9"/>
        <item h="1" x="4"/>
        <item x="13"/>
        <item x="10"/>
        <item h="1" x="12"/>
        <item h="1" x="3"/>
        <item x="11"/>
        <item x="2"/>
        <item h="1" x="15"/>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7">
    <i>
      <x v="1"/>
    </i>
    <i>
      <x v="4"/>
    </i>
    <i>
      <x v="5"/>
    </i>
    <i>
      <x v="8"/>
    </i>
    <i>
      <x v="12"/>
    </i>
    <i>
      <x v="18"/>
    </i>
    <i>
      <x v="19"/>
    </i>
  </rowItems>
  <colItems count="1">
    <i/>
  </colItems>
  <dataFields count="1">
    <dataField name="Target Hit % Wise" fld="10" baseField="1" baseItem="1"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7"/>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4"/>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19"/>
          </reference>
        </references>
      </pivotArea>
    </chartFormat>
    <chartFormat chart="0" format="8">
      <pivotArea type="data" outline="0" fieldPosition="0">
        <references count="2">
          <reference field="4294967294" count="1" selected="0">
            <x v="0"/>
          </reference>
          <reference field="1" count="1" selected="0">
            <x v="4"/>
          </reference>
        </references>
      </pivotArea>
    </chartFormat>
    <chartFormat chart="0" format="9">
      <pivotArea type="data" outline="0" fieldPosition="0">
        <references count="2">
          <reference field="4294967294" count="1" selected="0">
            <x v="0"/>
          </reference>
          <reference field="1" count="1" selected="0">
            <x v="8"/>
          </reference>
        </references>
      </pivotArea>
    </chartFormat>
    <chartFormat chart="0" format="10">
      <pivotArea type="data" outline="0" fieldPosition="0">
        <references count="2">
          <reference field="4294967294" count="1" selected="0">
            <x v="0"/>
          </reference>
          <reference field="1" count="1" selected="0">
            <x v="18"/>
          </reference>
        </references>
      </pivotArea>
    </chartFormat>
  </chartFormats>
  <pivotTableStyleInfo name="PivotStyleDark9" showRowHeaders="1" showColHeaders="1" showRowStripes="0" showColStripes="0" showLastColumn="1"/>
  <filters count="1">
    <filter fld="1" type="count" evalOrder="-1" id="8"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E802541-F47A-4900-B782-174150366FB0}" sourceName="City">
  <pivotTables>
    <pivotTable tabId="2" name="PivotTable1"/>
    <pivotTable tabId="2" name="PivotTable2"/>
    <pivotTable tabId="2" name="PivotTable3"/>
    <pivotTable tabId="2" name="PivotTable4"/>
  </pivotTables>
  <data>
    <tabular pivotCacheId="205004270">
      <items count="16">
        <i x="6" s="1"/>
        <i x="1"/>
        <i x="7"/>
        <i x="0" s="1"/>
        <i x="5" s="1"/>
        <i x="8"/>
        <i x="14"/>
        <i x="9" s="1"/>
        <i x="4"/>
        <i x="13" s="1"/>
        <i x="10" s="1"/>
        <i x="12"/>
        <i x="3"/>
        <i x="11" s="1"/>
        <i x="2" s="1"/>
        <i x="1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917A8D40-CEC8-4500-A54C-CA00D7BD9209}" cache="Slicer_City" caption="City"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027AD-F27F-49C8-B998-9472CECE7DB0}">
  <sheetPr codeName="Sheet1"/>
  <dimension ref="A1:N32"/>
  <sheetViews>
    <sheetView tabSelected="1" zoomScale="90" zoomScaleNormal="90" workbookViewId="0">
      <selection activeCell="N11" sqref="N11"/>
    </sheetView>
  </sheetViews>
  <sheetFormatPr defaultRowHeight="14.4" x14ac:dyDescent="0.3"/>
  <cols>
    <col min="1" max="1" width="16.21875" bestFit="1" customWidth="1"/>
    <col min="2" max="2" width="10.33203125" bestFit="1" customWidth="1"/>
    <col min="3" max="3" width="4.33203125" customWidth="1"/>
    <col min="4" max="4" width="16.21875" bestFit="1" customWidth="1"/>
    <col min="5" max="5" width="10.33203125" bestFit="1" customWidth="1"/>
    <col min="6" max="6" width="4.109375" customWidth="1"/>
    <col min="7" max="7" width="16.21875" bestFit="1" customWidth="1"/>
    <col min="8" max="8" width="15.44140625" bestFit="1" customWidth="1"/>
    <col min="9" max="9" width="4.33203125" customWidth="1"/>
    <col min="10" max="10" width="16.21875" bestFit="1" customWidth="1"/>
    <col min="11" max="11" width="22.109375" bestFit="1" customWidth="1"/>
  </cols>
  <sheetData>
    <row r="1" spans="1:14" ht="22.8" customHeight="1" x14ac:dyDescent="0.3">
      <c r="A1" s="9" t="b">
        <v>1</v>
      </c>
      <c r="B1" s="9"/>
      <c r="C1" s="9"/>
      <c r="D1" s="9" t="b">
        <v>1</v>
      </c>
      <c r="E1" s="9"/>
      <c r="F1" s="9"/>
      <c r="G1" s="9" t="b">
        <v>1</v>
      </c>
      <c r="H1" s="9"/>
      <c r="I1" s="9"/>
      <c r="J1" s="9" t="b">
        <v>1</v>
      </c>
      <c r="K1" s="9"/>
      <c r="L1" s="9"/>
      <c r="M1" s="9"/>
      <c r="N1" s="9"/>
    </row>
    <row r="2" spans="1:14" ht="82.8" customHeight="1" x14ac:dyDescent="0.3">
      <c r="A2" s="9"/>
      <c r="B2" s="9"/>
      <c r="C2" s="9"/>
      <c r="D2" s="9"/>
      <c r="E2" s="9"/>
      <c r="F2" s="9"/>
      <c r="G2" s="9"/>
      <c r="H2" s="9"/>
      <c r="I2" s="9"/>
      <c r="J2" s="9"/>
      <c r="K2" s="9"/>
      <c r="L2" s="9"/>
      <c r="M2" s="9"/>
      <c r="N2" s="9"/>
    </row>
    <row r="3" spans="1:14" x14ac:dyDescent="0.3">
      <c r="A3" s="6" t="s">
        <v>1</v>
      </c>
      <c r="B3" t="s">
        <v>68</v>
      </c>
      <c r="C3" s="9"/>
      <c r="D3" s="6" t="s">
        <v>1</v>
      </c>
      <c r="E3" t="s">
        <v>68</v>
      </c>
      <c r="F3" s="9"/>
      <c r="G3" s="6" t="s">
        <v>1</v>
      </c>
      <c r="H3" t="s">
        <v>69</v>
      </c>
      <c r="I3" s="9"/>
      <c r="J3" s="6" t="s">
        <v>1</v>
      </c>
      <c r="K3" t="s">
        <v>70</v>
      </c>
      <c r="L3" s="9"/>
      <c r="M3" s="9"/>
      <c r="N3" s="9"/>
    </row>
    <row r="4" spans="1:14" x14ac:dyDescent="0.3">
      <c r="A4" s="7" t="s">
        <v>47</v>
      </c>
      <c r="B4">
        <v>425</v>
      </c>
      <c r="C4" s="9"/>
      <c r="D4" s="7" t="s">
        <v>60</v>
      </c>
      <c r="E4">
        <v>274</v>
      </c>
      <c r="F4" s="9"/>
      <c r="G4" s="7" t="s">
        <v>47</v>
      </c>
      <c r="H4" s="8">
        <v>0.85</v>
      </c>
      <c r="I4" s="9"/>
      <c r="J4" s="7" t="s">
        <v>60</v>
      </c>
      <c r="K4" s="8">
        <v>0.45199999999999996</v>
      </c>
      <c r="L4" s="9"/>
      <c r="M4" s="9"/>
      <c r="N4" s="9"/>
    </row>
    <row r="5" spans="1:14" x14ac:dyDescent="0.3">
      <c r="A5" s="7" t="s">
        <v>31</v>
      </c>
      <c r="B5">
        <v>344</v>
      </c>
      <c r="C5" s="9"/>
      <c r="D5" s="7" t="s">
        <v>31</v>
      </c>
      <c r="E5">
        <v>344</v>
      </c>
      <c r="F5" s="9"/>
      <c r="G5" s="7" t="s">
        <v>31</v>
      </c>
      <c r="H5" s="8">
        <v>0.68799999999999994</v>
      </c>
      <c r="I5" s="9"/>
      <c r="J5" s="7" t="s">
        <v>31</v>
      </c>
      <c r="K5" s="8">
        <v>0.31200000000000006</v>
      </c>
      <c r="L5" s="9"/>
      <c r="M5" s="9"/>
      <c r="N5" s="9"/>
    </row>
    <row r="6" spans="1:14" x14ac:dyDescent="0.3">
      <c r="A6" s="7" t="s">
        <v>37</v>
      </c>
      <c r="B6">
        <v>368</v>
      </c>
      <c r="C6" s="9"/>
      <c r="D6" s="7" t="s">
        <v>37</v>
      </c>
      <c r="E6">
        <v>368</v>
      </c>
      <c r="F6" s="9"/>
      <c r="G6" s="7" t="s">
        <v>37</v>
      </c>
      <c r="H6" s="8">
        <v>0.73599999999999999</v>
      </c>
      <c r="I6" s="9"/>
      <c r="J6" s="7" t="s">
        <v>37</v>
      </c>
      <c r="K6" s="8">
        <v>0.26400000000000001</v>
      </c>
      <c r="L6" s="9"/>
      <c r="M6" s="9"/>
      <c r="N6" s="9"/>
    </row>
    <row r="7" spans="1:14" x14ac:dyDescent="0.3">
      <c r="A7" s="7" t="s">
        <v>28</v>
      </c>
      <c r="B7">
        <v>351</v>
      </c>
      <c r="C7" s="9"/>
      <c r="D7" s="7" t="s">
        <v>28</v>
      </c>
      <c r="E7">
        <v>351</v>
      </c>
      <c r="F7" s="9"/>
      <c r="G7" s="7" t="s">
        <v>28</v>
      </c>
      <c r="H7" s="8">
        <v>0.70199999999999996</v>
      </c>
      <c r="I7" s="9"/>
      <c r="J7" s="7" t="s">
        <v>28</v>
      </c>
      <c r="K7" s="8">
        <v>0.29800000000000004</v>
      </c>
      <c r="L7" s="9"/>
      <c r="M7" s="9"/>
      <c r="N7" s="9"/>
    </row>
    <row r="8" spans="1:14" x14ac:dyDescent="0.3">
      <c r="A8" s="7" t="s">
        <v>54</v>
      </c>
      <c r="B8">
        <v>368</v>
      </c>
      <c r="C8" s="9"/>
      <c r="D8" s="7" t="s">
        <v>54</v>
      </c>
      <c r="E8">
        <v>368</v>
      </c>
      <c r="F8" s="9"/>
      <c r="G8" s="7" t="s">
        <v>54</v>
      </c>
      <c r="H8" s="8">
        <v>0.73599999999999999</v>
      </c>
      <c r="I8" s="9"/>
      <c r="J8" s="7" t="s">
        <v>54</v>
      </c>
      <c r="K8" s="8">
        <v>0.26400000000000001</v>
      </c>
      <c r="L8" s="9"/>
      <c r="M8" s="9"/>
      <c r="N8" s="9"/>
    </row>
    <row r="9" spans="1:14" x14ac:dyDescent="0.3">
      <c r="A9" s="7" t="s">
        <v>19</v>
      </c>
      <c r="B9">
        <v>341</v>
      </c>
      <c r="C9" s="9"/>
      <c r="D9" s="7" t="s">
        <v>13</v>
      </c>
      <c r="E9">
        <v>318</v>
      </c>
      <c r="F9" s="9"/>
      <c r="G9" s="7" t="s">
        <v>19</v>
      </c>
      <c r="H9" s="8">
        <v>0.68200000000000005</v>
      </c>
      <c r="I9" s="9"/>
      <c r="J9" s="7" t="s">
        <v>13</v>
      </c>
      <c r="K9" s="8">
        <v>0.36399999999999999</v>
      </c>
      <c r="L9" s="9"/>
      <c r="M9" s="9"/>
      <c r="N9" s="9"/>
    </row>
    <row r="10" spans="1:14" x14ac:dyDescent="0.3">
      <c r="A10" s="7" t="s">
        <v>52</v>
      </c>
      <c r="B10">
        <v>383</v>
      </c>
      <c r="C10" s="9"/>
      <c r="D10" s="7" t="s">
        <v>42</v>
      </c>
      <c r="E10">
        <v>323</v>
      </c>
      <c r="F10" s="9"/>
      <c r="G10" s="7" t="s">
        <v>52</v>
      </c>
      <c r="H10" s="8">
        <v>0.76600000000000001</v>
      </c>
      <c r="I10" s="9"/>
      <c r="J10" s="7" t="s">
        <v>42</v>
      </c>
      <c r="K10" s="8">
        <v>0.35399999999999998</v>
      </c>
      <c r="L10" s="9"/>
      <c r="M10" s="9"/>
      <c r="N10" s="9"/>
    </row>
    <row r="11" spans="1:14" x14ac:dyDescent="0.3">
      <c r="A11" s="9"/>
      <c r="B11" s="9"/>
      <c r="C11" s="9"/>
      <c r="D11" s="7" t="s">
        <v>19</v>
      </c>
      <c r="E11">
        <v>341</v>
      </c>
      <c r="F11" s="9"/>
      <c r="G11" s="9"/>
      <c r="H11" s="9"/>
      <c r="I11" s="9"/>
      <c r="J11" s="7" t="s">
        <v>19</v>
      </c>
      <c r="K11" s="8">
        <v>0.31799999999999995</v>
      </c>
      <c r="L11" s="9"/>
      <c r="M11" s="9"/>
      <c r="N11" s="9"/>
    </row>
    <row r="12" spans="1:14" x14ac:dyDescent="0.3">
      <c r="A12" s="9"/>
      <c r="B12" s="9"/>
      <c r="C12" s="9"/>
      <c r="D12" s="9"/>
      <c r="E12" s="9"/>
      <c r="F12" s="9"/>
      <c r="G12" s="9"/>
      <c r="H12" s="9"/>
      <c r="I12" s="9"/>
      <c r="J12" s="9"/>
      <c r="K12" s="9"/>
      <c r="L12" s="9"/>
      <c r="M12" s="9"/>
      <c r="N12" s="9"/>
    </row>
    <row r="13" spans="1:14" x14ac:dyDescent="0.3">
      <c r="A13" s="9"/>
      <c r="B13" s="9"/>
      <c r="C13" s="9"/>
      <c r="D13" s="9"/>
      <c r="E13" s="9"/>
      <c r="F13" s="9"/>
      <c r="G13" s="9"/>
      <c r="H13" s="9"/>
      <c r="I13" s="9"/>
      <c r="J13" s="9"/>
      <c r="K13" s="9"/>
      <c r="L13" s="9"/>
      <c r="M13" s="9"/>
      <c r="N13" s="9"/>
    </row>
    <row r="14" spans="1:14" x14ac:dyDescent="0.3">
      <c r="A14" s="9"/>
      <c r="B14" s="9"/>
      <c r="C14" s="9"/>
      <c r="D14" s="9"/>
      <c r="E14" s="9"/>
      <c r="F14" s="9"/>
      <c r="G14" s="9"/>
      <c r="H14" s="9"/>
      <c r="I14" s="9"/>
      <c r="J14" s="9"/>
      <c r="K14" s="9"/>
      <c r="L14" s="9"/>
      <c r="M14" s="9"/>
      <c r="N14" s="9"/>
    </row>
    <row r="15" spans="1:14" x14ac:dyDescent="0.3">
      <c r="A15" s="9"/>
      <c r="B15" s="9"/>
      <c r="C15" s="9"/>
      <c r="D15" s="9"/>
      <c r="E15" s="9"/>
      <c r="F15" s="9"/>
      <c r="G15" s="9"/>
      <c r="H15" s="9"/>
      <c r="I15" s="9"/>
      <c r="J15" s="9"/>
      <c r="K15" s="9"/>
      <c r="L15" s="9"/>
      <c r="M15" s="9"/>
      <c r="N15" s="9"/>
    </row>
    <row r="16" spans="1:14" x14ac:dyDescent="0.3">
      <c r="A16" s="9"/>
      <c r="B16" s="9"/>
      <c r="C16" s="9"/>
      <c r="D16" s="9"/>
      <c r="E16" s="9"/>
      <c r="F16" s="9"/>
      <c r="G16" s="9"/>
      <c r="H16" s="9"/>
      <c r="I16" s="9"/>
      <c r="J16" s="9"/>
      <c r="K16" s="9"/>
      <c r="L16" s="9"/>
      <c r="M16" s="9"/>
      <c r="N16" s="9"/>
    </row>
    <row r="17" spans="1:14" x14ac:dyDescent="0.3">
      <c r="A17" s="9"/>
      <c r="B17" s="9"/>
      <c r="C17" s="9"/>
      <c r="D17" s="9"/>
      <c r="E17" s="9"/>
      <c r="F17" s="9"/>
      <c r="G17" s="9"/>
      <c r="H17" s="9"/>
      <c r="I17" s="9"/>
      <c r="J17" s="9"/>
      <c r="K17" s="9"/>
      <c r="L17" s="9"/>
      <c r="M17" s="9"/>
      <c r="N17" s="9"/>
    </row>
    <row r="18" spans="1:14" x14ac:dyDescent="0.3">
      <c r="A18" s="9"/>
      <c r="B18" s="9"/>
      <c r="C18" s="9"/>
      <c r="D18" s="9"/>
      <c r="E18" s="9"/>
      <c r="F18" s="9"/>
      <c r="G18" s="9"/>
      <c r="H18" s="9"/>
      <c r="I18" s="9"/>
      <c r="J18" s="9"/>
      <c r="K18" s="9"/>
      <c r="L18" s="9"/>
      <c r="M18" s="9"/>
      <c r="N18" s="9"/>
    </row>
    <row r="19" spans="1:14" x14ac:dyDescent="0.3">
      <c r="A19" s="9"/>
      <c r="B19" s="9"/>
      <c r="C19" s="9"/>
      <c r="D19" s="9"/>
      <c r="E19" s="9"/>
      <c r="F19" s="9"/>
      <c r="G19" s="9"/>
      <c r="H19" s="9"/>
      <c r="I19" s="9"/>
      <c r="J19" s="9"/>
      <c r="K19" s="9"/>
      <c r="L19" s="9"/>
      <c r="M19" s="9"/>
      <c r="N19" s="9"/>
    </row>
    <row r="20" spans="1:14" x14ac:dyDescent="0.3">
      <c r="A20" s="9"/>
      <c r="B20" s="9"/>
      <c r="C20" s="9"/>
      <c r="D20" s="9"/>
      <c r="E20" s="9"/>
      <c r="F20" s="9"/>
      <c r="G20" s="9"/>
      <c r="H20" s="9"/>
      <c r="I20" s="9"/>
      <c r="J20" s="9"/>
      <c r="K20" s="9"/>
      <c r="L20" s="9"/>
      <c r="M20" s="9"/>
      <c r="N20" s="9"/>
    </row>
    <row r="21" spans="1:14" x14ac:dyDescent="0.3">
      <c r="A21" s="9"/>
      <c r="B21" s="9"/>
      <c r="C21" s="9"/>
      <c r="D21" s="9"/>
      <c r="E21" s="9"/>
      <c r="F21" s="9"/>
      <c r="G21" s="9"/>
      <c r="H21" s="9"/>
      <c r="I21" s="9"/>
      <c r="J21" s="9"/>
      <c r="K21" s="9"/>
      <c r="L21" s="9"/>
      <c r="M21" s="9"/>
      <c r="N21" s="9"/>
    </row>
    <row r="22" spans="1:14" x14ac:dyDescent="0.3">
      <c r="A22" s="9"/>
      <c r="B22" s="9"/>
      <c r="C22" s="9"/>
      <c r="D22" s="9"/>
      <c r="E22" s="9"/>
      <c r="F22" s="9"/>
      <c r="G22" s="9"/>
      <c r="H22" s="9"/>
      <c r="I22" s="9"/>
      <c r="J22" s="9"/>
      <c r="K22" s="9"/>
      <c r="L22" s="9"/>
      <c r="M22" s="9"/>
      <c r="N22" s="9"/>
    </row>
    <row r="23" spans="1:14" x14ac:dyDescent="0.3">
      <c r="A23" s="9"/>
      <c r="B23" s="9"/>
      <c r="C23" s="9"/>
      <c r="D23" s="9"/>
      <c r="E23" s="9"/>
      <c r="F23" s="9"/>
      <c r="G23" s="9"/>
      <c r="H23" s="9"/>
      <c r="I23" s="9"/>
      <c r="J23" s="9"/>
      <c r="K23" s="9"/>
      <c r="L23" s="9"/>
      <c r="M23" s="9"/>
      <c r="N23" s="9"/>
    </row>
    <row r="24" spans="1:14" x14ac:dyDescent="0.3">
      <c r="A24" s="9"/>
      <c r="B24" s="9"/>
      <c r="C24" s="9"/>
      <c r="D24" s="9"/>
      <c r="E24" s="9"/>
      <c r="F24" s="9"/>
      <c r="G24" s="9"/>
      <c r="H24" s="9"/>
      <c r="I24" s="9"/>
      <c r="J24" s="9"/>
      <c r="K24" s="9"/>
      <c r="L24" s="9"/>
      <c r="M24" s="9"/>
      <c r="N24" s="9"/>
    </row>
    <row r="25" spans="1:14" x14ac:dyDescent="0.3">
      <c r="A25" s="9"/>
      <c r="B25" s="9"/>
      <c r="C25" s="9"/>
      <c r="D25" s="9"/>
      <c r="E25" s="9"/>
      <c r="F25" s="9"/>
      <c r="G25" s="9"/>
      <c r="H25" s="9"/>
      <c r="I25" s="9"/>
      <c r="J25" s="9"/>
      <c r="K25" s="9"/>
      <c r="L25" s="9"/>
      <c r="M25" s="9"/>
      <c r="N25" s="9"/>
    </row>
    <row r="26" spans="1:14" x14ac:dyDescent="0.3">
      <c r="A26" s="9"/>
      <c r="B26" s="9"/>
      <c r="C26" s="9"/>
      <c r="D26" s="9"/>
      <c r="E26" s="9"/>
      <c r="F26" s="9"/>
      <c r="G26" s="9"/>
      <c r="H26" s="9"/>
      <c r="I26" s="9"/>
      <c r="J26" s="9"/>
      <c r="K26" s="9"/>
      <c r="L26" s="9"/>
      <c r="M26" s="9"/>
      <c r="N26" s="9"/>
    </row>
    <row r="27" spans="1:14" x14ac:dyDescent="0.3">
      <c r="A27" s="9"/>
      <c r="B27" s="9"/>
      <c r="C27" s="9"/>
      <c r="D27" s="9"/>
      <c r="E27" s="9"/>
      <c r="F27" s="9"/>
      <c r="G27" s="9"/>
      <c r="H27" s="9"/>
      <c r="I27" s="9"/>
      <c r="J27" s="9"/>
      <c r="K27" s="9"/>
      <c r="L27" s="9"/>
      <c r="M27" s="9"/>
      <c r="N27" s="9"/>
    </row>
    <row r="28" spans="1:14" x14ac:dyDescent="0.3">
      <c r="A28" s="9"/>
      <c r="B28" s="9"/>
      <c r="C28" s="9"/>
      <c r="D28" s="9"/>
      <c r="E28" s="9"/>
      <c r="F28" s="9"/>
      <c r="G28" s="9"/>
      <c r="H28" s="9"/>
      <c r="I28" s="9"/>
      <c r="J28" s="9"/>
      <c r="K28" s="9"/>
      <c r="L28" s="9"/>
      <c r="M28" s="9"/>
      <c r="N28" s="9"/>
    </row>
    <row r="29" spans="1:14" x14ac:dyDescent="0.3">
      <c r="A29" s="9"/>
      <c r="B29" s="9"/>
      <c r="C29" s="9"/>
      <c r="D29" s="9"/>
      <c r="E29" s="9"/>
      <c r="F29" s="9"/>
      <c r="G29" s="9"/>
      <c r="H29" s="9"/>
      <c r="I29" s="9"/>
      <c r="J29" s="9"/>
      <c r="K29" s="9"/>
      <c r="L29" s="9"/>
      <c r="M29" s="9"/>
      <c r="N29" s="9"/>
    </row>
    <row r="30" spans="1:14" x14ac:dyDescent="0.3">
      <c r="A30" s="9"/>
      <c r="B30" s="9"/>
      <c r="C30" s="9"/>
      <c r="D30" s="9"/>
      <c r="E30" s="9"/>
      <c r="F30" s="9"/>
      <c r="G30" s="9"/>
      <c r="H30" s="9"/>
      <c r="I30" s="9"/>
      <c r="J30" s="9"/>
      <c r="K30" s="9"/>
      <c r="L30" s="9"/>
      <c r="M30" s="9"/>
      <c r="N30" s="9"/>
    </row>
    <row r="31" spans="1:14" x14ac:dyDescent="0.3">
      <c r="A31" s="9"/>
      <c r="B31" s="9"/>
      <c r="C31" s="9"/>
      <c r="D31" s="9"/>
      <c r="E31" s="9"/>
      <c r="F31" s="9"/>
      <c r="G31" s="9"/>
      <c r="H31" s="9"/>
      <c r="I31" s="9"/>
      <c r="J31" s="9"/>
      <c r="K31" s="9"/>
      <c r="L31" s="9"/>
      <c r="M31" s="9"/>
      <c r="N31" s="9"/>
    </row>
    <row r="32" spans="1:14" x14ac:dyDescent="0.3">
      <c r="A32" s="9"/>
      <c r="B32" s="9"/>
      <c r="C32" s="9"/>
      <c r="D32" s="9"/>
      <c r="E32" s="9"/>
      <c r="F32" s="9"/>
      <c r="G32" s="9"/>
      <c r="H32" s="9"/>
      <c r="I32" s="9"/>
      <c r="J32" s="9"/>
      <c r="K32" s="9"/>
      <c r="L32" s="9"/>
      <c r="M32" s="9"/>
      <c r="N32" s="9"/>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342900</xdr:colOff>
                    <xdr:row>1</xdr:row>
                    <xdr:rowOff>632460</xdr:rowOff>
                  </from>
                  <to>
                    <xdr:col>1</xdr:col>
                    <xdr:colOff>167640</xdr:colOff>
                    <xdr:row>1</xdr:row>
                    <xdr:rowOff>853440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441960</xdr:colOff>
                    <xdr:row>1</xdr:row>
                    <xdr:rowOff>632460</xdr:rowOff>
                  </from>
                  <to>
                    <xdr:col>4</xdr:col>
                    <xdr:colOff>266700</xdr:colOff>
                    <xdr:row>1</xdr:row>
                    <xdr:rowOff>853440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662940</xdr:colOff>
                    <xdr:row>1</xdr:row>
                    <xdr:rowOff>632460</xdr:rowOff>
                  </from>
                  <to>
                    <xdr:col>7</xdr:col>
                    <xdr:colOff>487680</xdr:colOff>
                    <xdr:row>1</xdr:row>
                    <xdr:rowOff>853440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830580</xdr:colOff>
                    <xdr:row>1</xdr:row>
                    <xdr:rowOff>617220</xdr:rowOff>
                  </from>
                  <to>
                    <xdr:col>10</xdr:col>
                    <xdr:colOff>655320</xdr:colOff>
                    <xdr:row>1</xdr:row>
                    <xdr:rowOff>838200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686F9-BB8F-4419-8B2E-8F14DEF774F5}">
  <sheetPr codeName="Sheet2"/>
  <dimension ref="A1:L21"/>
  <sheetViews>
    <sheetView zoomScale="140" zoomScaleNormal="140" workbookViewId="0">
      <selection sqref="A1:L21"/>
    </sheetView>
  </sheetViews>
  <sheetFormatPr defaultRowHeight="14.4" x14ac:dyDescent="0.3"/>
  <cols>
    <col min="1" max="1" width="14.21875" bestFit="1" customWidth="1"/>
    <col min="2" max="2" width="14.44140625" bestFit="1" customWidth="1"/>
    <col min="3" max="3" width="11.33203125" bestFit="1" customWidth="1"/>
    <col min="9" max="9" width="10.21875" bestFit="1" customWidth="1"/>
    <col min="11" max="11" width="10.77734375" bestFit="1" customWidth="1"/>
    <col min="12" max="12" width="17.7773437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2" t="s">
        <v>14</v>
      </c>
      <c r="D2" s="4">
        <v>41</v>
      </c>
      <c r="E2" s="4">
        <v>77</v>
      </c>
      <c r="F2" s="4">
        <v>76</v>
      </c>
      <c r="G2" s="4">
        <v>53</v>
      </c>
      <c r="H2" s="4">
        <v>71</v>
      </c>
      <c r="I2" s="4">
        <f>SUM(D2:H2)</f>
        <v>318</v>
      </c>
      <c r="J2" s="4">
        <v>500</v>
      </c>
      <c r="K2" s="5">
        <f>(I2/J2)*100%</f>
        <v>0.63600000000000001</v>
      </c>
      <c r="L2" s="5">
        <f>100%-K2</f>
        <v>0.36399999999999999</v>
      </c>
    </row>
    <row r="3" spans="1:12" x14ac:dyDescent="0.3">
      <c r="A3" s="2" t="s">
        <v>15</v>
      </c>
      <c r="B3" s="3" t="s">
        <v>16</v>
      </c>
      <c r="C3" s="2" t="s">
        <v>17</v>
      </c>
      <c r="D3" s="4">
        <v>83</v>
      </c>
      <c r="E3" s="4">
        <v>71</v>
      </c>
      <c r="F3" s="4">
        <v>47</v>
      </c>
      <c r="G3" s="4">
        <v>50</v>
      </c>
      <c r="H3" s="4">
        <v>47</v>
      </c>
      <c r="I3" s="4">
        <f t="shared" ref="I3:I21" si="0">SUM(D3:H3)</f>
        <v>298</v>
      </c>
      <c r="J3" s="4">
        <v>500</v>
      </c>
      <c r="K3" s="5">
        <f t="shared" ref="K3:K21" si="1">(I3/J3)*100%</f>
        <v>0.59599999999999997</v>
      </c>
      <c r="L3" s="5">
        <f t="shared" ref="L3:L21" si="2">100%-K3</f>
        <v>0.40400000000000003</v>
      </c>
    </row>
    <row r="4" spans="1:12" x14ac:dyDescent="0.3">
      <c r="A4" s="2" t="s">
        <v>18</v>
      </c>
      <c r="B4" s="3" t="s">
        <v>19</v>
      </c>
      <c r="C4" s="2" t="s">
        <v>20</v>
      </c>
      <c r="D4" s="4">
        <v>51</v>
      </c>
      <c r="E4" s="4">
        <v>66</v>
      </c>
      <c r="F4" s="4">
        <v>51</v>
      </c>
      <c r="G4" s="4">
        <v>80</v>
      </c>
      <c r="H4" s="4">
        <v>93</v>
      </c>
      <c r="I4" s="4">
        <f t="shared" si="0"/>
        <v>341</v>
      </c>
      <c r="J4" s="4">
        <v>500</v>
      </c>
      <c r="K4" s="5">
        <f t="shared" si="1"/>
        <v>0.68200000000000005</v>
      </c>
      <c r="L4" s="5">
        <f t="shared" si="2"/>
        <v>0.31799999999999995</v>
      </c>
    </row>
    <row r="5" spans="1:12" x14ac:dyDescent="0.3">
      <c r="A5" s="2" t="s">
        <v>21</v>
      </c>
      <c r="B5" s="3" t="s">
        <v>22</v>
      </c>
      <c r="C5" s="2" t="s">
        <v>23</v>
      </c>
      <c r="D5" s="4">
        <v>56</v>
      </c>
      <c r="E5" s="4">
        <v>71</v>
      </c>
      <c r="F5" s="4">
        <v>71</v>
      </c>
      <c r="G5" s="4">
        <v>57</v>
      </c>
      <c r="H5" s="4">
        <v>57</v>
      </c>
      <c r="I5" s="4">
        <f t="shared" si="0"/>
        <v>312</v>
      </c>
      <c r="J5" s="4">
        <v>500</v>
      </c>
      <c r="K5" s="5">
        <f t="shared" si="1"/>
        <v>0.624</v>
      </c>
      <c r="L5" s="5">
        <f t="shared" si="2"/>
        <v>0.376</v>
      </c>
    </row>
    <row r="6" spans="1:12" x14ac:dyDescent="0.3">
      <c r="A6" s="2" t="s">
        <v>24</v>
      </c>
      <c r="B6" s="3" t="s">
        <v>25</v>
      </c>
      <c r="C6" s="2" t="s">
        <v>26</v>
      </c>
      <c r="D6" s="4">
        <v>92</v>
      </c>
      <c r="E6" s="4">
        <v>50</v>
      </c>
      <c r="F6" s="4">
        <v>70</v>
      </c>
      <c r="G6" s="4">
        <v>63</v>
      </c>
      <c r="H6" s="4">
        <v>93</v>
      </c>
      <c r="I6" s="4">
        <f t="shared" si="0"/>
        <v>368</v>
      </c>
      <c r="J6" s="4">
        <v>500</v>
      </c>
      <c r="K6" s="5">
        <f t="shared" si="1"/>
        <v>0.73599999999999999</v>
      </c>
      <c r="L6" s="5">
        <f t="shared" si="2"/>
        <v>0.26400000000000001</v>
      </c>
    </row>
    <row r="7" spans="1:12" x14ac:dyDescent="0.3">
      <c r="A7" s="2" t="s">
        <v>27</v>
      </c>
      <c r="B7" s="3" t="s">
        <v>28</v>
      </c>
      <c r="C7" s="2" t="s">
        <v>29</v>
      </c>
      <c r="D7" s="4">
        <v>50</v>
      </c>
      <c r="E7" s="4">
        <v>95</v>
      </c>
      <c r="F7" s="4">
        <v>89</v>
      </c>
      <c r="G7" s="4">
        <v>77</v>
      </c>
      <c r="H7" s="4">
        <v>40</v>
      </c>
      <c r="I7" s="4">
        <f t="shared" si="0"/>
        <v>351</v>
      </c>
      <c r="J7" s="4">
        <v>500</v>
      </c>
      <c r="K7" s="5">
        <f t="shared" si="1"/>
        <v>0.70199999999999996</v>
      </c>
      <c r="L7" s="5">
        <f t="shared" si="2"/>
        <v>0.29800000000000004</v>
      </c>
    </row>
    <row r="8" spans="1:12" x14ac:dyDescent="0.3">
      <c r="A8" s="2" t="s">
        <v>30</v>
      </c>
      <c r="B8" s="3" t="s">
        <v>31</v>
      </c>
      <c r="C8" s="2" t="s">
        <v>32</v>
      </c>
      <c r="D8" s="4">
        <v>84</v>
      </c>
      <c r="E8" s="4">
        <v>62</v>
      </c>
      <c r="F8" s="4">
        <v>83</v>
      </c>
      <c r="G8" s="4">
        <v>59</v>
      </c>
      <c r="H8" s="4">
        <v>56</v>
      </c>
      <c r="I8" s="4">
        <f t="shared" si="0"/>
        <v>344</v>
      </c>
      <c r="J8" s="4">
        <v>500</v>
      </c>
      <c r="K8" s="5">
        <f t="shared" si="1"/>
        <v>0.68799999999999994</v>
      </c>
      <c r="L8" s="5">
        <f t="shared" si="2"/>
        <v>0.31200000000000006</v>
      </c>
    </row>
    <row r="9" spans="1:12" x14ac:dyDescent="0.3">
      <c r="A9" s="2" t="s">
        <v>33</v>
      </c>
      <c r="B9" s="3" t="s">
        <v>34</v>
      </c>
      <c r="C9" s="2" t="s">
        <v>35</v>
      </c>
      <c r="D9" s="4">
        <v>45</v>
      </c>
      <c r="E9" s="4">
        <v>61</v>
      </c>
      <c r="F9" s="4">
        <v>46</v>
      </c>
      <c r="G9" s="4">
        <v>63</v>
      </c>
      <c r="H9" s="4">
        <v>48</v>
      </c>
      <c r="I9" s="4">
        <f t="shared" si="0"/>
        <v>263</v>
      </c>
      <c r="J9" s="4">
        <v>500</v>
      </c>
      <c r="K9" s="5">
        <f t="shared" si="1"/>
        <v>0.52600000000000002</v>
      </c>
      <c r="L9" s="5">
        <f t="shared" si="2"/>
        <v>0.47399999999999998</v>
      </c>
    </row>
    <row r="10" spans="1:12" x14ac:dyDescent="0.3">
      <c r="A10" s="2" t="s">
        <v>36</v>
      </c>
      <c r="B10" s="3" t="s">
        <v>37</v>
      </c>
      <c r="C10" s="2" t="s">
        <v>14</v>
      </c>
      <c r="D10" s="4">
        <v>55</v>
      </c>
      <c r="E10" s="4">
        <v>84</v>
      </c>
      <c r="F10" s="4">
        <v>67</v>
      </c>
      <c r="G10" s="4">
        <v>93</v>
      </c>
      <c r="H10" s="4">
        <v>69</v>
      </c>
      <c r="I10" s="4">
        <f t="shared" si="0"/>
        <v>368</v>
      </c>
      <c r="J10" s="4">
        <v>500</v>
      </c>
      <c r="K10" s="5">
        <f t="shared" si="1"/>
        <v>0.73599999999999999</v>
      </c>
      <c r="L10" s="5">
        <f t="shared" si="2"/>
        <v>0.26400000000000001</v>
      </c>
    </row>
    <row r="11" spans="1:12" x14ac:dyDescent="0.3">
      <c r="A11" s="2" t="s">
        <v>38</v>
      </c>
      <c r="B11" s="3" t="s">
        <v>39</v>
      </c>
      <c r="C11" s="2" t="s">
        <v>40</v>
      </c>
      <c r="D11" s="4">
        <v>61</v>
      </c>
      <c r="E11" s="4">
        <v>45</v>
      </c>
      <c r="F11" s="4">
        <v>57</v>
      </c>
      <c r="G11" s="4">
        <v>52</v>
      </c>
      <c r="H11" s="4">
        <v>48</v>
      </c>
      <c r="I11" s="4">
        <f t="shared" si="0"/>
        <v>263</v>
      </c>
      <c r="J11" s="4">
        <v>500</v>
      </c>
      <c r="K11" s="5">
        <f t="shared" si="1"/>
        <v>0.52600000000000002</v>
      </c>
      <c r="L11" s="5">
        <f t="shared" si="2"/>
        <v>0.47399999999999998</v>
      </c>
    </row>
    <row r="12" spans="1:12" x14ac:dyDescent="0.3">
      <c r="A12" s="2" t="s">
        <v>41</v>
      </c>
      <c r="B12" s="3" t="s">
        <v>42</v>
      </c>
      <c r="C12" s="2" t="s">
        <v>43</v>
      </c>
      <c r="D12" s="4">
        <v>93</v>
      </c>
      <c r="E12" s="4">
        <v>40</v>
      </c>
      <c r="F12" s="4">
        <v>53</v>
      </c>
      <c r="G12" s="4">
        <v>57</v>
      </c>
      <c r="H12" s="4">
        <v>80</v>
      </c>
      <c r="I12" s="4">
        <f t="shared" si="0"/>
        <v>323</v>
      </c>
      <c r="J12" s="4">
        <v>500</v>
      </c>
      <c r="K12" s="5">
        <f t="shared" si="1"/>
        <v>0.64600000000000002</v>
      </c>
      <c r="L12" s="5">
        <f t="shared" si="2"/>
        <v>0.35399999999999998</v>
      </c>
    </row>
    <row r="13" spans="1:12" x14ac:dyDescent="0.3">
      <c r="A13" s="2" t="s">
        <v>44</v>
      </c>
      <c r="B13" s="3" t="s">
        <v>45</v>
      </c>
      <c r="C13" s="2" t="s">
        <v>17</v>
      </c>
      <c r="D13" s="4">
        <v>48</v>
      </c>
      <c r="E13" s="4">
        <v>87</v>
      </c>
      <c r="F13" s="4">
        <v>90</v>
      </c>
      <c r="G13" s="4">
        <v>90</v>
      </c>
      <c r="H13" s="4">
        <v>81</v>
      </c>
      <c r="I13" s="4">
        <f t="shared" si="0"/>
        <v>396</v>
      </c>
      <c r="J13" s="4">
        <v>500</v>
      </c>
      <c r="K13" s="5">
        <f t="shared" si="1"/>
        <v>0.79200000000000004</v>
      </c>
      <c r="L13" s="5">
        <f t="shared" si="2"/>
        <v>0.20799999999999996</v>
      </c>
    </row>
    <row r="14" spans="1:12" x14ac:dyDescent="0.3">
      <c r="A14" s="2" t="s">
        <v>46</v>
      </c>
      <c r="B14" s="3" t="s">
        <v>47</v>
      </c>
      <c r="C14" s="2" t="s">
        <v>48</v>
      </c>
      <c r="D14" s="4">
        <v>91</v>
      </c>
      <c r="E14" s="4">
        <v>75</v>
      </c>
      <c r="F14" s="4">
        <v>77</v>
      </c>
      <c r="G14" s="4">
        <v>95</v>
      </c>
      <c r="H14" s="4">
        <v>87</v>
      </c>
      <c r="I14" s="4">
        <f t="shared" si="0"/>
        <v>425</v>
      </c>
      <c r="J14" s="4">
        <v>500</v>
      </c>
      <c r="K14" s="5">
        <f t="shared" si="1"/>
        <v>0.85</v>
      </c>
      <c r="L14" s="5">
        <f t="shared" si="2"/>
        <v>0.15000000000000002</v>
      </c>
    </row>
    <row r="15" spans="1:12" x14ac:dyDescent="0.3">
      <c r="A15" s="2" t="s">
        <v>49</v>
      </c>
      <c r="B15" s="3" t="s">
        <v>50</v>
      </c>
      <c r="C15" s="2" t="s">
        <v>23</v>
      </c>
      <c r="D15" s="4">
        <v>59</v>
      </c>
      <c r="E15" s="4">
        <v>87</v>
      </c>
      <c r="F15" s="4">
        <v>64</v>
      </c>
      <c r="G15" s="4">
        <v>83</v>
      </c>
      <c r="H15" s="4">
        <v>79</v>
      </c>
      <c r="I15" s="4">
        <f t="shared" si="0"/>
        <v>372</v>
      </c>
      <c r="J15" s="4">
        <v>500</v>
      </c>
      <c r="K15" s="5">
        <f t="shared" si="1"/>
        <v>0.74399999999999999</v>
      </c>
      <c r="L15" s="5">
        <f t="shared" si="2"/>
        <v>0.25600000000000001</v>
      </c>
    </row>
    <row r="16" spans="1:12" x14ac:dyDescent="0.3">
      <c r="A16" s="2" t="s">
        <v>51</v>
      </c>
      <c r="B16" s="3" t="s">
        <v>52</v>
      </c>
      <c r="C16" s="2" t="s">
        <v>14</v>
      </c>
      <c r="D16" s="4">
        <v>95</v>
      </c>
      <c r="E16" s="4">
        <v>82</v>
      </c>
      <c r="F16" s="4">
        <v>61</v>
      </c>
      <c r="G16" s="4">
        <v>85</v>
      </c>
      <c r="H16" s="4">
        <v>60</v>
      </c>
      <c r="I16" s="4">
        <f t="shared" si="0"/>
        <v>383</v>
      </c>
      <c r="J16" s="4">
        <v>500</v>
      </c>
      <c r="K16" s="5">
        <f t="shared" si="1"/>
        <v>0.76600000000000001</v>
      </c>
      <c r="L16" s="5">
        <f t="shared" si="2"/>
        <v>0.23399999999999999</v>
      </c>
    </row>
    <row r="17" spans="1:12" x14ac:dyDescent="0.3">
      <c r="A17" s="2" t="s">
        <v>53</v>
      </c>
      <c r="B17" s="3" t="s">
        <v>54</v>
      </c>
      <c r="C17" s="2" t="s">
        <v>55</v>
      </c>
      <c r="D17" s="4">
        <v>83</v>
      </c>
      <c r="E17" s="4">
        <v>51</v>
      </c>
      <c r="F17" s="4">
        <v>89</v>
      </c>
      <c r="G17" s="4">
        <v>66</v>
      </c>
      <c r="H17" s="4">
        <v>79</v>
      </c>
      <c r="I17" s="4">
        <f t="shared" si="0"/>
        <v>368</v>
      </c>
      <c r="J17" s="4">
        <v>500</v>
      </c>
      <c r="K17" s="5">
        <f t="shared" si="1"/>
        <v>0.73599999999999999</v>
      </c>
      <c r="L17" s="5">
        <f t="shared" si="2"/>
        <v>0.26400000000000001</v>
      </c>
    </row>
    <row r="18" spans="1:12" x14ac:dyDescent="0.3">
      <c r="A18" s="2" t="s">
        <v>56</v>
      </c>
      <c r="B18" s="3" t="s">
        <v>57</v>
      </c>
      <c r="C18" s="2" t="s">
        <v>58</v>
      </c>
      <c r="D18" s="4">
        <v>88</v>
      </c>
      <c r="E18" s="4">
        <v>65</v>
      </c>
      <c r="F18" s="4">
        <v>45</v>
      </c>
      <c r="G18" s="4">
        <v>75</v>
      </c>
      <c r="H18" s="4">
        <v>65</v>
      </c>
      <c r="I18" s="4">
        <f t="shared" si="0"/>
        <v>338</v>
      </c>
      <c r="J18" s="4">
        <v>500</v>
      </c>
      <c r="K18" s="5">
        <f t="shared" si="1"/>
        <v>0.67600000000000005</v>
      </c>
      <c r="L18" s="5">
        <f t="shared" si="2"/>
        <v>0.32399999999999995</v>
      </c>
    </row>
    <row r="19" spans="1:12" x14ac:dyDescent="0.3">
      <c r="A19" s="2" t="s">
        <v>59</v>
      </c>
      <c r="B19" s="3" t="s">
        <v>60</v>
      </c>
      <c r="C19" s="2" t="s">
        <v>61</v>
      </c>
      <c r="D19" s="4">
        <v>57</v>
      </c>
      <c r="E19" s="4">
        <v>75</v>
      </c>
      <c r="F19" s="4">
        <v>52</v>
      </c>
      <c r="G19" s="4">
        <v>40</v>
      </c>
      <c r="H19" s="4">
        <v>50</v>
      </c>
      <c r="I19" s="4">
        <f t="shared" si="0"/>
        <v>274</v>
      </c>
      <c r="J19" s="4">
        <v>500</v>
      </c>
      <c r="K19" s="5">
        <f t="shared" si="1"/>
        <v>0.54800000000000004</v>
      </c>
      <c r="L19" s="5">
        <f t="shared" si="2"/>
        <v>0.45199999999999996</v>
      </c>
    </row>
    <row r="20" spans="1:12" x14ac:dyDescent="0.3">
      <c r="A20" s="2" t="s">
        <v>62</v>
      </c>
      <c r="B20" s="3" t="s">
        <v>63</v>
      </c>
      <c r="C20" s="2" t="s">
        <v>64</v>
      </c>
      <c r="D20" s="4">
        <v>57</v>
      </c>
      <c r="E20" s="4">
        <v>58</v>
      </c>
      <c r="F20" s="4">
        <v>74</v>
      </c>
      <c r="G20" s="4">
        <v>59</v>
      </c>
      <c r="H20" s="4">
        <v>67</v>
      </c>
      <c r="I20" s="4">
        <f t="shared" si="0"/>
        <v>315</v>
      </c>
      <c r="J20" s="4">
        <v>500</v>
      </c>
      <c r="K20" s="5">
        <f t="shared" si="1"/>
        <v>0.63</v>
      </c>
      <c r="L20" s="5">
        <f t="shared" si="2"/>
        <v>0.37</v>
      </c>
    </row>
    <row r="21" spans="1:12" x14ac:dyDescent="0.3">
      <c r="A21" s="2" t="s">
        <v>65</v>
      </c>
      <c r="B21" s="3" t="s">
        <v>66</v>
      </c>
      <c r="C21" s="2" t="s">
        <v>67</v>
      </c>
      <c r="D21" s="4">
        <v>55</v>
      </c>
      <c r="E21" s="4">
        <v>93</v>
      </c>
      <c r="F21" s="4">
        <v>46</v>
      </c>
      <c r="G21" s="4">
        <v>61</v>
      </c>
      <c r="H21" s="4">
        <v>40</v>
      </c>
      <c r="I21" s="4">
        <f t="shared" si="0"/>
        <v>295</v>
      </c>
      <c r="J21" s="4">
        <v>500</v>
      </c>
      <c r="K21" s="5">
        <f t="shared" si="1"/>
        <v>0.59</v>
      </c>
      <c r="L21" s="5">
        <f t="shared" si="2"/>
        <v>0.41000000000000003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VINTAGE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Vintage Systems</dc:creator>
  <cp:lastModifiedBy>Vintage Systems</cp:lastModifiedBy>
  <dcterms:created xsi:type="dcterms:W3CDTF">2025-12-29T14:15:37Z</dcterms:created>
  <dcterms:modified xsi:type="dcterms:W3CDTF">2026-03-31T23:42:47Z</dcterms:modified>
</cp:coreProperties>
</file>